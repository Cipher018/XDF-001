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15BBD5B0-89AC-4519-B15D-B3A4073F251D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1" l="1"/>
  <c r="G36" i="1" s="1"/>
  <c r="E35" i="1"/>
  <c r="G35" i="1" s="1"/>
  <c r="E34" i="1"/>
  <c r="G34" i="1" s="1"/>
  <c r="E33" i="1"/>
  <c r="G33" i="1" s="1"/>
  <c r="E32" i="1"/>
  <c r="G32" i="1" s="1"/>
  <c r="E31" i="1"/>
  <c r="G31" i="1" s="1"/>
  <c r="E30" i="1"/>
  <c r="G30" i="1" s="1"/>
  <c r="E29" i="1"/>
  <c r="G29" i="1" s="1"/>
  <c r="E28" i="1"/>
  <c r="G28" i="1" s="1"/>
  <c r="E26" i="1"/>
  <c r="G26" i="1" s="1"/>
  <c r="E27" i="1"/>
  <c r="G27" i="1" s="1"/>
  <c r="E25" i="1"/>
  <c r="G25" i="1" s="1"/>
  <c r="E24" i="1"/>
  <c r="G24" i="1" s="1"/>
  <c r="E23" i="1"/>
  <c r="G23" i="1" s="1"/>
  <c r="E22" i="1"/>
  <c r="G22" i="1" s="1"/>
  <c r="E21" i="1"/>
  <c r="E20" i="1"/>
  <c r="G20" i="1" s="1"/>
  <c r="E19" i="1"/>
  <c r="G19" i="1" s="1"/>
  <c r="E16" i="1"/>
  <c r="G16" i="1" s="1"/>
  <c r="E17" i="1"/>
  <c r="G17" i="1" s="1"/>
  <c r="E18" i="1"/>
  <c r="G18" i="1" s="1"/>
  <c r="E14" i="1"/>
  <c r="G14" i="1" s="1"/>
  <c r="E15" i="1"/>
  <c r="G15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2" i="1"/>
  <c r="G2" i="1" s="1"/>
</calcChain>
</file>

<file path=xl/sharedStrings.xml><?xml version="1.0" encoding="utf-8"?>
<sst xmlns="http://schemas.openxmlformats.org/spreadsheetml/2006/main" count="112" uniqueCount="74">
  <si>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</si>
  <si>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</si>
  <si>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</si>
  <si>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</si>
  <si>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</si>
  <si>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</si>
  <si>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</si>
  <si>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</si>
  <si>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</si>
  <si>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</si>
  <si>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</si>
  <si>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</si>
  <si>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LiPo Battery 3S 11.1V 2200mAh XT60</t>
  </si>
  <si>
    <t>IMAX B3 PRO 7.4V/11.1V 2S 3S 110-240V Compact Lipo Battery Balance Charger</t>
  </si>
  <si>
    <t>ESP-32 Devkit 38 pins</t>
  </si>
  <si>
    <t>Aliexpress</t>
  </si>
  <si>
    <t>Source</t>
  </si>
  <si>
    <t>NEEBRC 3542 1000KV  2-4S Outrunner Brushless Motor for RC Fixed Wing Airplane</t>
  </si>
  <si>
    <t>RC FPV Micro Camera AIO 5.8G 25MW 40CH 800TVL Transmitter LST-S4 + FPV Camera with OSD Parts for Racing Drone</t>
  </si>
  <si>
    <t>RC832 Video Image Transmission Receiver, SKY 32S 5.8G FPV Wireless Upgrade</t>
  </si>
  <si>
    <t>Lindinger</t>
  </si>
  <si>
    <t>1/16"*3"*42" Balsa Sheet</t>
  </si>
  <si>
    <t>1/4"*3"*24" Balsa Sheet</t>
  </si>
  <si>
    <t>PCB</t>
  </si>
  <si>
    <t>JLCPCB</t>
  </si>
  <si>
    <t>1/8"*3"*24" Balsa Sheet</t>
  </si>
  <si>
    <t>1/8"*1/8"*36" Balsa Strip</t>
  </si>
  <si>
    <t>1/2"*1/2"*36" Balsa Strip</t>
  </si>
  <si>
    <t>Dev board that will allow processing of telemetry, air-to-ground communication and autonomous operations based on vector operations</t>
  </si>
  <si>
    <t>Servomotor driver that allows control of up to 16 servomotors using only 2 pins, mainly used to avoid using all the pins of the ESP32 and for more sophisticated control via binary control</t>
  </si>
  <si>
    <t>Radio module that allows medium-range air-to-ground communication without major interference; a PLA antenna is added to maximize range.</t>
  </si>
  <si>
    <t>GPS module that allows knowing the exact position of the aircraft along with its speed and altitude, key for both vector calculation and telemetry</t>
  </si>
  <si>
    <t>The 3.3 Volt voltage regulator allows for the safe and continuous powering of sensitive modules such as the nrf24l01 directly from the VEC.</t>
  </si>
  <si>
    <t>Magnetometer, gyroscope and accelerometer that will allow knowing the orientation and acceleration that the plane suffers in flight, also key for vector calculation thanks to being able to know the heading</t>
  </si>
  <si>
    <t>Servomotors with metal gears that allow for high-performance and precise movement of control surfaces</t>
  </si>
  <si>
    <t>A brushless motor that generates thrust for the aircraft was chosen in this case due to the aircraft's dimensions.It includes ESC and VEC which allows control via a microcontroller and voltage regulation from the LiPo battery.</t>
  </si>
  <si>
    <t>AERONAUT CAM CARBON LIGHT 11/5 CLOCKWISE CW Popeller</t>
  </si>
  <si>
    <t>Light carbon propeller designed to generate the maximum amount of thrust efficiently</t>
  </si>
  <si>
    <t>Nylon hinges that allow free and controlled movement of the control surfaces</t>
  </si>
  <si>
    <t>High-performance lithium polymer battery allowing sufficient voltage and current to be delivered to the motor thanks to its high discharge rate</t>
  </si>
  <si>
    <t>The charger allows you to both balance and charge the LiPo battery safely.</t>
  </si>
  <si>
    <t>AIO system for video recording and transmission, allows for a stable video signal</t>
  </si>
  <si>
    <t>Video receiver to process the image and transform it into a USB signal for the application</t>
  </si>
  <si>
    <t>Construction material, in this case mainly for the fuselage</t>
  </si>
  <si>
    <t>Reinforcements for the control surfaces and fuselage</t>
  </si>
  <si>
    <t>Circuit board to house all the electronics inside the aircraft</t>
  </si>
  <si>
    <t>M4x8 Screws</t>
  </si>
  <si>
    <t>M3x8 Screws</t>
  </si>
  <si>
    <t>M4x10 Screws</t>
  </si>
  <si>
    <t>M4x6 Screws</t>
  </si>
  <si>
    <t>M3x20 Screws</t>
  </si>
  <si>
    <t>M4x12 Screws</t>
  </si>
  <si>
    <t>Metric machine screws (M3/M4), zinc plated steel, for mechanical fastening and structural joining</t>
  </si>
  <si>
    <t>Local Hardware Store</t>
  </si>
  <si>
    <t>XT60 Male conecctor</t>
  </si>
  <si>
    <t>XT60 Female conector</t>
  </si>
  <si>
    <t>JST Conector</t>
  </si>
  <si>
    <t>40 pins socket pack</t>
  </si>
  <si>
    <t>LiPo battery input connector, supplies power to the PCB main power rail.</t>
  </si>
  <si>
    <t>High-current output connector, distributes power from the main rail to loads.</t>
  </si>
  <si>
    <t>Low-current signal connector for auxiliary peripherals like the FPV camera.</t>
  </si>
  <si>
    <t>High-frequency decoupling on the MPU9250 power supply line.</t>
  </si>
  <si>
    <t>Local decoupling on the power supply lines of all modules.</t>
  </si>
  <si>
    <t>Mid-frequency filtering on the PCA9685 and NEO-6M logic supply lines.</t>
  </si>
  <si>
    <t>Voltage stabilization on the ESP32 and NRF24L01 power rails.</t>
  </si>
  <si>
    <t>Interconnection headers for module mounting and replacement on the PCB.</t>
  </si>
  <si>
    <t>Current spike absorption on the PCA9685 servo power rail.</t>
  </si>
  <si>
    <t>Ceramic capacitor 10nf</t>
  </si>
  <si>
    <t>Ceramic capacitor 100nf</t>
  </si>
  <si>
    <t>Electrolitic capacitor 10uf</t>
  </si>
  <si>
    <t>Electrolitic capacitor 100uf</t>
  </si>
  <si>
    <t>Electrolitic capacitor 470uf</t>
  </si>
  <si>
    <t>Local Wood Store</t>
  </si>
  <si>
    <t>8s MG90S Servomotor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</si>
</sst>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  <xf numFmtId="0" fontId="4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36" totalsRowShown="0">
  <autoFilter ref="A1:G36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>
      <calculatedColumnFormula>ROUND(1.19*Tabla1[[#This Row],[Total Price]],2)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3" Type="http://schemas.openxmlformats.org/officeDocument/2006/relationships/hyperlink" Target="https://www.lindinger.at/en/AIRPLANES/ELECTRIC-POWERPLANTS/Propellers/Rigid-Propellers/AERONAUT-CAM-CARBON-LIGHT-11-5-CLOCKWISE-CW-Popeller/9709758" TargetMode="External"/><Relationship Id="rId3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7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2" Type="http://schemas.openxmlformats.org/officeDocument/2006/relationships/hyperlink" Target="https://es.aliexpress.com/item/1005010323659583.html?spm=a2g0o.productlist.main.3.2ec3CYriCYrity&amp;algo_pvid=2e7b2c4f-b73a-4aab-9a75-9bddd33d7f90&amp;algo_exp_id=2e7b2c4f-b73a-4aab-9a75-9bddd33d7f90-2&amp;pdp_ext_f=%7B%22order%22%3A%223%22%2C%22spu_best_type%22%3A%22service%22%2C%22eval%22%3A%221%22%2C%22fromPage%22%3A%22search%22%7D&amp;pdp_npi=6%40dis%21USD%2185.22%2138.95%21%21%21585.70%21267.72%21%40210325a917707533736866625e997c%2112000051954081599%21sea%21CL%210%21ABX%211%210%21n_tag%3A-29910%3Bd%3Aeb55f528%3Bm03_new_user%3A-29895%3BpisId%3A5000000197836541&amp;curPageLogUid=3Zqzi5dmOkX3&amp;utparam-url=scene%3Asearch%7Cquery_from%3A%7Cx_object_id%3A1005010323659583%7C_p_origin_prod%3A" TargetMode="External"/><Relationship Id="rId2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11" Type="http://schemas.openxmlformats.org/officeDocument/2006/relationships/hyperlink" Target="https://es.aliexpress.com/item/1005007508741840.html?spm=a2g0o.detail.pcDetailTopMoreOtherSeller.7.6ba16MtM6MtMrX&amp;gps-id=pcDetailTopMoreOtherSeller&amp;scm=1007.40050.354490.0&amp;scm_id=1007.40050.354490.0&amp;scm-url=1007.40050.354490.0&amp;pvid=c06a098e-7118-4985-8ba4-cb29b0157d8b&amp;_t=gps-id:pcDetailTopMoreOtherSeller,scm-url:1007.40050.354490.0,pvid:c06a098e-7118-4985-8ba4-cb29b0157d8b,tpp_buckets:668%232846%238111%231996&amp;pdp_ext_f=%7B%22order%22%3A%22259%22%2C%22eval%22%3A%221%22%2C%22sceneId%22%3A%2230050%22%2C%22fromPage%22%3A%22recommend%22%7D&amp;pdp_npi=6%40dis%21USD%212.21%212.21%21%21%2115.20%2115.20%21%402101d97817747308544542936efa22%2112000041070118579%21rec%21CL%216626777930%21XZ%211%210%21n_tag%3A-29911%3Bd%3Aeb55f528%3Bm03_new_user%3A-29895&amp;utparam-url=scene%3ApcDetailTopMoreOtherSeller%7Cquery_from%3A%7Cx_object_id%3A1005007508741840%7C_p_origin_prod%3A" TargetMode="External"/><Relationship Id="rId5" Type="http://schemas.openxmlformats.org/officeDocument/2006/relationships/hyperlink" Target="https://es.aliexpress.com/item/1005009122504274.html?spm=a2g0o.productlist.main.7.5f89748boATUNm&amp;algo_pvid=3013834c-bec4-4311-b0aa-2a86e15363f8&amp;algo_exp_id=3013834c-bec4-4311-b0aa-2a86e15363f8-6&amp;pdp_ext_f=%7B%22order%22%3A%22107%22%2C%22eval%22%3A%221%22%2C%22fromPage%22%3A%22search%22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%22order%22%3A%227%22%2C%22spu_best_type%22%3A%22price%22%2C%22eval%22%3A%221%22%2C%22sceneId%22%3A%2230050%22%2C%22fromPage%22%3A%22recommend%22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TargetMode="External"/><Relationship Id="rId4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9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4" Type="http://schemas.openxmlformats.org/officeDocument/2006/relationships/hyperlink" Target="https://es.aliexpress.com/item/100500718241010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36"/>
  <sheetViews>
    <sheetView tabSelected="1" zoomScale="85" zoomScaleNormal="85" workbookViewId="0">
      <selection activeCell="F7" sqref="F7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  <c r="G1" t="s">
        <v>5</v>
      </c>
    </row>
    <row r="2" spans="1:7" x14ac:dyDescent="0.3">
      <c r="A2" t="s">
        <v>14</v>
      </c>
      <c r="B2" t="s">
        <v>28</v>
      </c>
      <c r="C2">
        <v>1</v>
      </c>
      <c r="D2">
        <v>4.2300000000000004</v>
      </c>
      <c r="E2">
        <f>Tabla1[[#This Row],[Quantity ]]*Tabla1[[#This Row],[Unit price]]</f>
        <v>4.2300000000000004</v>
      </c>
      <c r="F2" s="3" t="s">
        <v>15</v>
      </c>
      <c r="G2">
        <f>ROUND(1.19*Tabla1[[#This Row],[Total Price]],2)</f>
        <v>5.03</v>
      </c>
    </row>
    <row r="3" spans="1:7" x14ac:dyDescent="0.3">
      <c r="A3" t="s">
        <v>6</v>
      </c>
      <c r="B3" t="s">
        <v>29</v>
      </c>
      <c r="C3">
        <v>1</v>
      </c>
      <c r="D3">
        <v>1.2</v>
      </c>
      <c r="E3">
        <f>Tabla1[[#This Row],[Quantity ]]*Tabla1[[#This Row],[Unit price]]</f>
        <v>1.2</v>
      </c>
      <c r="F3" s="3" t="s">
        <v>15</v>
      </c>
      <c r="G3">
        <f>ROUND(1.19*Tabla1[[#This Row],[Total Price]],2)</f>
        <v>1.43</v>
      </c>
    </row>
    <row r="4" spans="1:7" x14ac:dyDescent="0.3">
      <c r="A4" t="s">
        <v>9</v>
      </c>
      <c r="B4" t="s">
        <v>30</v>
      </c>
      <c r="C4">
        <v>2</v>
      </c>
      <c r="D4">
        <v>2.31</v>
      </c>
      <c r="E4">
        <f>Tabla1[[#This Row],[Quantity ]]*Tabla1[[#This Row],[Unit price]]</f>
        <v>4.62</v>
      </c>
      <c r="F4" s="3" t="s">
        <v>15</v>
      </c>
      <c r="G4">
        <f>ROUND(1.19*Tabla1[[#This Row],[Total Price]],2)</f>
        <v>5.5</v>
      </c>
    </row>
    <row r="5" spans="1:7" x14ac:dyDescent="0.3">
      <c r="A5" t="s">
        <v>7</v>
      </c>
      <c r="B5" t="s">
        <v>31</v>
      </c>
      <c r="C5">
        <v>1</v>
      </c>
      <c r="D5">
        <v>2.33</v>
      </c>
      <c r="E5">
        <f>Tabla1[[#This Row],[Quantity ]]*Tabla1[[#This Row],[Unit price]]</f>
        <v>2.33</v>
      </c>
      <c r="F5" s="3" t="s">
        <v>15</v>
      </c>
      <c r="G5">
        <f>ROUND(1.19*Tabla1[[#This Row],[Total Price]],2)</f>
        <v>2.77</v>
      </c>
    </row>
    <row r="6" spans="1:7" x14ac:dyDescent="0.3">
      <c r="A6" t="s">
        <v>8</v>
      </c>
      <c r="B6" t="s">
        <v>32</v>
      </c>
      <c r="C6">
        <v>1</v>
      </c>
      <c r="D6">
        <v>0.67</v>
      </c>
      <c r="E6">
        <f>Tabla1[[#This Row],[Quantity ]]*Tabla1[[#This Row],[Unit price]]</f>
        <v>0.67</v>
      </c>
      <c r="F6" s="3" t="s">
        <v>15</v>
      </c>
      <c r="G6">
        <f>ROUND(1.19*Tabla1[[#This Row],[Total Price]],2)</f>
        <v>0.8</v>
      </c>
    </row>
    <row r="7" spans="1:7" x14ac:dyDescent="0.3">
      <c r="A7" t="s">
        <v>10</v>
      </c>
      <c r="B7" t="s">
        <v>33</v>
      </c>
      <c r="C7">
        <v>1</v>
      </c>
      <c r="D7">
        <v>2.31</v>
      </c>
      <c r="E7">
        <f>Tabla1[[#This Row],[Quantity ]]*Tabla1[[#This Row],[Unit price]]</f>
        <v>2.31</v>
      </c>
      <c r="F7" s="3" t="s">
        <v>15</v>
      </c>
      <c r="G7">
        <f>ROUND(1.19*Tabla1[[#This Row],[Total Price]],2)</f>
        <v>2.75</v>
      </c>
    </row>
    <row r="8" spans="1:7" x14ac:dyDescent="0.3">
      <c r="A8" t="s">
        <v>73</v>
      </c>
      <c r="B8" t="s">
        <v>34</v>
      </c>
      <c r="C8">
        <v>1</v>
      </c>
      <c r="D8">
        <v>16.66</v>
      </c>
      <c r="E8">
        <f>Tabla1[[#This Row],[Quantity ]]*Tabla1[[#This Row],[Unit price]]</f>
        <v>16.66</v>
      </c>
      <c r="F8" s="3" t="s">
        <v>15</v>
      </c>
      <c r="G8">
        <f>ROUND(1.19*Tabla1[[#This Row],[Total Price]],2)</f>
        <v>19.829999999999998</v>
      </c>
    </row>
    <row r="9" spans="1:7" x14ac:dyDescent="0.3">
      <c r="A9" s="1" t="s">
        <v>17</v>
      </c>
      <c r="B9" t="s">
        <v>35</v>
      </c>
      <c r="C9">
        <v>1</v>
      </c>
      <c r="D9">
        <v>39.520000000000003</v>
      </c>
      <c r="E9">
        <f>Tabla1[[#This Row],[Quantity ]]*Tabla1[[#This Row],[Unit price]]</f>
        <v>39.520000000000003</v>
      </c>
      <c r="F9" s="3" t="s">
        <v>15</v>
      </c>
      <c r="G9">
        <f>ROUND(1.19*Tabla1[[#This Row],[Total Price]],2)</f>
        <v>47.03</v>
      </c>
    </row>
    <row r="10" spans="1:7" x14ac:dyDescent="0.3">
      <c r="A10" s="1" t="s">
        <v>36</v>
      </c>
      <c r="B10" t="s">
        <v>37</v>
      </c>
      <c r="C10">
        <v>1</v>
      </c>
      <c r="D10">
        <v>6.9</v>
      </c>
      <c r="E10">
        <f>Tabla1[[#This Row],[Quantity ]]*Tabla1[[#This Row],[Unit price]]</f>
        <v>6.9</v>
      </c>
      <c r="F10" s="3" t="s">
        <v>20</v>
      </c>
      <c r="G10">
        <f>ROUND(1.19*Tabla1[[#This Row],[Total Price]],2)</f>
        <v>8.2100000000000009</v>
      </c>
    </row>
    <row r="11" spans="1:7" x14ac:dyDescent="0.3">
      <c r="A11" s="4" t="s">
        <v>11</v>
      </c>
      <c r="B11" t="s">
        <v>38</v>
      </c>
      <c r="C11">
        <v>2</v>
      </c>
      <c r="D11">
        <v>0.99</v>
      </c>
      <c r="E11">
        <f>Tabla1[[#This Row],[Quantity ]]*Tabla1[[#This Row],[Unit price]]</f>
        <v>1.98</v>
      </c>
      <c r="F11" s="3" t="s">
        <v>15</v>
      </c>
      <c r="G11">
        <f>ROUND(1.19*Tabla1[[#This Row],[Total Price]],2)</f>
        <v>2.36</v>
      </c>
    </row>
    <row r="12" spans="1:7" x14ac:dyDescent="0.3">
      <c r="A12" t="s">
        <v>12</v>
      </c>
      <c r="B12" t="s">
        <v>39</v>
      </c>
      <c r="C12">
        <v>1</v>
      </c>
      <c r="D12">
        <v>10.54</v>
      </c>
      <c r="E12">
        <f>Tabla1[[#This Row],[Quantity ]]*Tabla1[[#This Row],[Unit price]]</f>
        <v>10.54</v>
      </c>
      <c r="F12" s="3" t="s">
        <v>15</v>
      </c>
      <c r="G12">
        <f>ROUND(1.19*Tabla1[[#This Row],[Total Price]],2)</f>
        <v>12.54</v>
      </c>
    </row>
    <row r="13" spans="1:7" x14ac:dyDescent="0.3">
      <c r="A13" t="s">
        <v>13</v>
      </c>
      <c r="B13" t="s">
        <v>40</v>
      </c>
      <c r="C13">
        <v>1</v>
      </c>
      <c r="D13">
        <v>4.62</v>
      </c>
      <c r="E13">
        <f>Tabla1[[#This Row],[Quantity ]]*Tabla1[[#This Row],[Unit price]]</f>
        <v>4.62</v>
      </c>
      <c r="F13" s="3" t="s">
        <v>15</v>
      </c>
      <c r="G13">
        <f>ROUND(1.19*Tabla1[[#This Row],[Total Price]],2)</f>
        <v>5.5</v>
      </c>
    </row>
    <row r="14" spans="1:7" x14ac:dyDescent="0.3">
      <c r="A14" t="s">
        <v>18</v>
      </c>
      <c r="B14" t="s">
        <v>41</v>
      </c>
      <c r="C14">
        <v>1</v>
      </c>
      <c r="D14">
        <v>14.65</v>
      </c>
      <c r="E14">
        <f>Tabla1[[#This Row],[Quantity ]]*Tabla1[[#This Row],[Unit price]]</f>
        <v>14.65</v>
      </c>
      <c r="F14" s="5" t="s">
        <v>15</v>
      </c>
      <c r="G14">
        <f>ROUND(1.19*Tabla1[[#This Row],[Total Price]],2)</f>
        <v>17.43</v>
      </c>
    </row>
    <row r="15" spans="1:7" x14ac:dyDescent="0.3">
      <c r="A15" t="s">
        <v>19</v>
      </c>
      <c r="B15" t="s">
        <v>42</v>
      </c>
      <c r="C15">
        <v>1</v>
      </c>
      <c r="D15">
        <v>18.989999999999998</v>
      </c>
      <c r="E15">
        <f>Tabla1[[#This Row],[Quantity ]]*Tabla1[[#This Row],[Unit price]]</f>
        <v>18.989999999999998</v>
      </c>
      <c r="F15" s="3" t="s">
        <v>15</v>
      </c>
      <c r="G15">
        <f>ROUND(1.19*Tabla1[[#This Row],[Total Price]],2)</f>
        <v>22.6</v>
      </c>
    </row>
    <row r="16" spans="1:7" x14ac:dyDescent="0.3">
      <c r="A16" s="2" t="s">
        <v>21</v>
      </c>
      <c r="B16" t="s">
        <v>43</v>
      </c>
      <c r="C16">
        <v>2</v>
      </c>
      <c r="D16">
        <v>2.78</v>
      </c>
      <c r="E16">
        <f>Tabla1[[#This Row],[Quantity ]]*Tabla1[[#This Row],[Unit price]]</f>
        <v>5.56</v>
      </c>
      <c r="F16" t="s">
        <v>72</v>
      </c>
      <c r="G16">
        <f>ROUND(1.19*Tabla1[[#This Row],[Total Price]],2)</f>
        <v>6.62</v>
      </c>
    </row>
    <row r="17" spans="1:7" x14ac:dyDescent="0.3">
      <c r="A17" s="2" t="s">
        <v>25</v>
      </c>
      <c r="B17" t="s">
        <v>43</v>
      </c>
      <c r="C17">
        <v>2</v>
      </c>
      <c r="D17">
        <v>2.0299999999999998</v>
      </c>
      <c r="E17">
        <f>Tabla1[[#This Row],[Quantity ]]*Tabla1[[#This Row],[Unit price]]</f>
        <v>4.0599999999999996</v>
      </c>
      <c r="F17" t="s">
        <v>72</v>
      </c>
      <c r="G17">
        <f>ROUND(1.19*Tabla1[[#This Row],[Total Price]],2)</f>
        <v>4.83</v>
      </c>
    </row>
    <row r="18" spans="1:7" x14ac:dyDescent="0.3">
      <c r="A18" s="2" t="s">
        <v>22</v>
      </c>
      <c r="B18" t="s">
        <v>44</v>
      </c>
      <c r="C18">
        <v>1</v>
      </c>
      <c r="D18">
        <v>3.16</v>
      </c>
      <c r="E18">
        <f>Tabla1[[#This Row],[Quantity ]]*Tabla1[[#This Row],[Unit price]]</f>
        <v>3.16</v>
      </c>
      <c r="F18" t="s">
        <v>72</v>
      </c>
      <c r="G18">
        <f>ROUND(1.19*Tabla1[[#This Row],[Total Price]],2)</f>
        <v>3.76</v>
      </c>
    </row>
    <row r="19" spans="1:7" x14ac:dyDescent="0.3">
      <c r="A19" t="s">
        <v>26</v>
      </c>
      <c r="B19" t="s">
        <v>44</v>
      </c>
      <c r="C19">
        <v>4</v>
      </c>
      <c r="D19">
        <v>0.61</v>
      </c>
      <c r="E19">
        <f>Tabla1[[#This Row],[Quantity ]]*Tabla1[[#This Row],[Unit price]]</f>
        <v>2.44</v>
      </c>
      <c r="F19" t="s">
        <v>72</v>
      </c>
      <c r="G19">
        <f>ROUND(1.19*Tabla1[[#This Row],[Total Price]],2)</f>
        <v>2.9</v>
      </c>
    </row>
    <row r="20" spans="1:7" x14ac:dyDescent="0.3">
      <c r="A20" t="s">
        <v>27</v>
      </c>
      <c r="B20" t="s">
        <v>44</v>
      </c>
      <c r="C20">
        <v>2</v>
      </c>
      <c r="D20">
        <v>2.46</v>
      </c>
      <c r="E20">
        <f>Tabla1[[#This Row],[Quantity ]]*Tabla1[[#This Row],[Unit price]]</f>
        <v>4.92</v>
      </c>
      <c r="F20" t="s">
        <v>72</v>
      </c>
      <c r="G20">
        <f>ROUND(1.19*Tabla1[[#This Row],[Total Price]],2)</f>
        <v>5.85</v>
      </c>
    </row>
    <row r="21" spans="1:7" x14ac:dyDescent="0.3">
      <c r="A21" t="s">
        <v>23</v>
      </c>
      <c r="B21" t="s">
        <v>45</v>
      </c>
      <c r="C21">
        <v>1</v>
      </c>
      <c r="D21">
        <v>12.1</v>
      </c>
      <c r="E21">
        <f>Tabla1[[#This Row],[Quantity ]]*Tabla1[[#This Row],[Unit price]]</f>
        <v>12.1</v>
      </c>
      <c r="F21" t="s">
        <v>24</v>
      </c>
      <c r="G21">
        <v>12.1</v>
      </c>
    </row>
    <row r="22" spans="1:7" x14ac:dyDescent="0.3">
      <c r="A22" t="s">
        <v>46</v>
      </c>
      <c r="B22" t="s">
        <v>52</v>
      </c>
      <c r="C22">
        <v>8</v>
      </c>
      <c r="D22">
        <v>0.08</v>
      </c>
      <c r="E22">
        <f>Tabla1[[#This Row],[Quantity ]]*Tabla1[[#This Row],[Unit price]]</f>
        <v>0.64</v>
      </c>
      <c r="F22" t="s">
        <v>53</v>
      </c>
      <c r="G22">
        <f>ROUND(1.19*Tabla1[[#This Row],[Total Price]],2)</f>
        <v>0.76</v>
      </c>
    </row>
    <row r="23" spans="1:7" x14ac:dyDescent="0.3">
      <c r="A23" t="s">
        <v>47</v>
      </c>
      <c r="B23" t="s">
        <v>52</v>
      </c>
      <c r="C23">
        <v>34</v>
      </c>
      <c r="D23">
        <v>0.06</v>
      </c>
      <c r="E23">
        <f>Tabla1[[#This Row],[Quantity ]]*Tabla1[[#This Row],[Unit price]]</f>
        <v>2.04</v>
      </c>
      <c r="F23" t="s">
        <v>53</v>
      </c>
      <c r="G23">
        <f>ROUND(1.19*Tabla1[[#This Row],[Total Price]],2)</f>
        <v>2.4300000000000002</v>
      </c>
    </row>
    <row r="24" spans="1:7" x14ac:dyDescent="0.3">
      <c r="A24" t="s">
        <v>48</v>
      </c>
      <c r="B24" t="s">
        <v>52</v>
      </c>
      <c r="C24">
        <v>8</v>
      </c>
      <c r="D24">
        <v>0.09</v>
      </c>
      <c r="E24">
        <f>Tabla1[[#This Row],[Quantity ]]*Tabla1[[#This Row],[Unit price]]</f>
        <v>0.72</v>
      </c>
      <c r="F24" t="s">
        <v>53</v>
      </c>
      <c r="G24">
        <f>ROUND(1.19*Tabla1[[#This Row],[Total Price]],2)</f>
        <v>0.86</v>
      </c>
    </row>
    <row r="25" spans="1:7" x14ac:dyDescent="0.3">
      <c r="A25" t="s">
        <v>49</v>
      </c>
      <c r="B25" t="s">
        <v>52</v>
      </c>
      <c r="C25">
        <v>4</v>
      </c>
      <c r="D25">
        <v>0.08</v>
      </c>
      <c r="E25">
        <f>Tabla1[[#This Row],[Quantity ]]*Tabla1[[#This Row],[Unit price]]</f>
        <v>0.32</v>
      </c>
      <c r="F25" t="s">
        <v>53</v>
      </c>
      <c r="G25">
        <f>ROUND(1.19*Tabla1[[#This Row],[Total Price]],2)</f>
        <v>0.38</v>
      </c>
    </row>
    <row r="26" spans="1:7" x14ac:dyDescent="0.3">
      <c r="A26" t="s">
        <v>50</v>
      </c>
      <c r="B26" t="s">
        <v>52</v>
      </c>
      <c r="C26">
        <v>4</v>
      </c>
      <c r="D26">
        <v>0.1</v>
      </c>
      <c r="E26">
        <f>Tabla1[[#This Row],[Quantity ]]*Tabla1[[#This Row],[Unit price]]</f>
        <v>0.4</v>
      </c>
      <c r="F26" t="s">
        <v>53</v>
      </c>
      <c r="G26">
        <f>ROUND(1.19*Tabla1[[#This Row],[Total Price]],2)</f>
        <v>0.48</v>
      </c>
    </row>
    <row r="27" spans="1:7" x14ac:dyDescent="0.3">
      <c r="A27" t="s">
        <v>51</v>
      </c>
      <c r="B27" t="s">
        <v>52</v>
      </c>
      <c r="C27">
        <v>8</v>
      </c>
      <c r="D27">
        <v>0.1</v>
      </c>
      <c r="E27">
        <f>Tabla1[[#This Row],[Quantity ]]*Tabla1[[#This Row],[Unit price]]</f>
        <v>0.8</v>
      </c>
      <c r="F27" t="s">
        <v>53</v>
      </c>
      <c r="G27">
        <f>ROUND(1.19*Tabla1[[#This Row],[Total Price]],2)</f>
        <v>0.95</v>
      </c>
    </row>
    <row r="28" spans="1:7" x14ac:dyDescent="0.3">
      <c r="A28" t="s">
        <v>54</v>
      </c>
      <c r="B28" t="s">
        <v>58</v>
      </c>
      <c r="C28">
        <v>1</v>
      </c>
      <c r="D28">
        <v>0.85</v>
      </c>
      <c r="E28">
        <f>Tabla1[[#This Row],[Quantity ]]*Tabla1[[#This Row],[Unit price]]</f>
        <v>0.85</v>
      </c>
      <c r="F28" t="s">
        <v>53</v>
      </c>
      <c r="G28">
        <f>ROUND(1.19*Tabla1[[#This Row],[Total Price]],2)</f>
        <v>1.01</v>
      </c>
    </row>
    <row r="29" spans="1:7" x14ac:dyDescent="0.3">
      <c r="A29" t="s">
        <v>55</v>
      </c>
      <c r="B29" t="s">
        <v>59</v>
      </c>
      <c r="C29">
        <v>1</v>
      </c>
      <c r="D29">
        <v>0.85</v>
      </c>
      <c r="E29">
        <f>Tabla1[[#This Row],[Quantity ]]*Tabla1[[#This Row],[Unit price]]</f>
        <v>0.85</v>
      </c>
      <c r="F29" t="s">
        <v>53</v>
      </c>
      <c r="G29">
        <f>ROUND(1.19*Tabla1[[#This Row],[Total Price]],2)</f>
        <v>1.01</v>
      </c>
    </row>
    <row r="30" spans="1:7" x14ac:dyDescent="0.3">
      <c r="A30" t="s">
        <v>56</v>
      </c>
      <c r="B30" t="s">
        <v>60</v>
      </c>
      <c r="C30">
        <v>1</v>
      </c>
      <c r="D30">
        <v>0.15</v>
      </c>
      <c r="E30">
        <f>Tabla1[[#This Row],[Quantity ]]*Tabla1[[#This Row],[Unit price]]</f>
        <v>0.15</v>
      </c>
      <c r="F30" t="s">
        <v>53</v>
      </c>
      <c r="G30">
        <f>ROUND(1.19*Tabla1[[#This Row],[Total Price]],2)</f>
        <v>0.18</v>
      </c>
    </row>
    <row r="31" spans="1:7" x14ac:dyDescent="0.3">
      <c r="A31" t="s">
        <v>57</v>
      </c>
      <c r="B31" t="s">
        <v>65</v>
      </c>
      <c r="C31">
        <v>2</v>
      </c>
      <c r="D31">
        <v>0.6</v>
      </c>
      <c r="E31">
        <f>Tabla1[[#This Row],[Quantity ]]*Tabla1[[#This Row],[Unit price]]</f>
        <v>1.2</v>
      </c>
      <c r="F31" t="s">
        <v>53</v>
      </c>
      <c r="G31">
        <f>ROUND(1.19*Tabla1[[#This Row],[Total Price]],2)</f>
        <v>1.43</v>
      </c>
    </row>
    <row r="32" spans="1:7" x14ac:dyDescent="0.3">
      <c r="A32" t="s">
        <v>67</v>
      </c>
      <c r="B32" t="s">
        <v>61</v>
      </c>
      <c r="C32">
        <v>1</v>
      </c>
      <c r="D32">
        <v>0.08</v>
      </c>
      <c r="E32">
        <f>Tabla1[[#This Row],[Quantity ]]*Tabla1[[#This Row],[Unit price]]</f>
        <v>0.08</v>
      </c>
      <c r="F32" t="s">
        <v>53</v>
      </c>
      <c r="G32">
        <f>ROUND(1.19*Tabla1[[#This Row],[Total Price]],2)</f>
        <v>0.1</v>
      </c>
    </row>
    <row r="33" spans="1:7" x14ac:dyDescent="0.3">
      <c r="A33" t="s">
        <v>68</v>
      </c>
      <c r="B33" t="s">
        <v>62</v>
      </c>
      <c r="C33">
        <v>7</v>
      </c>
      <c r="D33">
        <v>7.0000000000000007E-2</v>
      </c>
      <c r="E33">
        <f>Tabla1[[#This Row],[Quantity ]]*Tabla1[[#This Row],[Unit price]]</f>
        <v>0.49000000000000005</v>
      </c>
      <c r="F33" t="s">
        <v>53</v>
      </c>
      <c r="G33">
        <f>ROUND(1.19*Tabla1[[#This Row],[Total Price]],2)</f>
        <v>0.57999999999999996</v>
      </c>
    </row>
    <row r="34" spans="1:7" x14ac:dyDescent="0.3">
      <c r="A34" t="s">
        <v>69</v>
      </c>
      <c r="B34" t="s">
        <v>63</v>
      </c>
      <c r="C34">
        <v>2</v>
      </c>
      <c r="D34">
        <v>0.12</v>
      </c>
      <c r="E34">
        <f>Tabla1[[#This Row],[Quantity ]]*Tabla1[[#This Row],[Unit price]]</f>
        <v>0.24</v>
      </c>
      <c r="F34" t="s">
        <v>53</v>
      </c>
      <c r="G34">
        <f>ROUND(1.19*Tabla1[[#This Row],[Total Price]],2)</f>
        <v>0.28999999999999998</v>
      </c>
    </row>
    <row r="35" spans="1:7" x14ac:dyDescent="0.3">
      <c r="A35" t="s">
        <v>70</v>
      </c>
      <c r="B35" t="s">
        <v>64</v>
      </c>
      <c r="C35">
        <v>3</v>
      </c>
      <c r="D35">
        <v>0.22</v>
      </c>
      <c r="E35">
        <f>Tabla1[[#This Row],[Quantity ]]*Tabla1[[#This Row],[Unit price]]</f>
        <v>0.66</v>
      </c>
      <c r="F35" t="s">
        <v>53</v>
      </c>
      <c r="G35">
        <f>ROUND(1.19*Tabla1[[#This Row],[Total Price]],2)</f>
        <v>0.79</v>
      </c>
    </row>
    <row r="36" spans="1:7" x14ac:dyDescent="0.3">
      <c r="A36" t="s">
        <v>71</v>
      </c>
      <c r="B36" t="s">
        <v>66</v>
      </c>
      <c r="C36">
        <v>1</v>
      </c>
      <c r="D36">
        <v>0.55000000000000004</v>
      </c>
      <c r="E36">
        <f>Tabla1[[#This Row],[Quantity ]]*Tabla1[[#This Row],[Unit price]]</f>
        <v>0.55000000000000004</v>
      </c>
      <c r="F36" t="s">
        <v>53</v>
      </c>
      <c r="G36">
        <f>ROUND(1.19*Tabla1[[#This Row],[Total Price]],2)</f>
        <v>0.65</v>
      </c>
    </row>
  </sheetData>
  <hyperlinks>
    <hyperlink ref="F2" r:id="rId1" display="URL very long, shorted" xr:uid="{99A62D6B-955A-465D-9C6A-2BAD046A9049}"/>
    <hyperlink ref="F4" r:id="rId2" display="URL very long, shorted" xr:uid="{8E819B06-8183-48A6-B118-A91BE3A6E284}"/>
    <hyperlink ref="F5" r:id="rId3" display="URL very long, shorted" xr:uid="{1CE1FEDD-0883-422F-B918-52FF154AAD79}"/>
    <hyperlink ref="F6" r:id="rId4" display="URL very long, shorted" xr:uid="{ED55419D-2723-484E-911B-E97DC66A4B66}"/>
    <hyperlink ref="F7" r:id="rId5" display="https://es.aliexpress.com/item/1005009122504274.html?spm=a2g0o.productlist.main.7.5f89748boATUNm&amp;algo_pvid=3013834c-bec4-4311-b0aa-2a86e15363f8&amp;algo_exp_id=3013834c-bec4-4311-b0aa-2a86e15363f8-6&amp;pdp_ext_f=%7B&quot;order&quot;%3A&quot;107&quot;%2C&quot;eval&quot;%3A&quot;1&quot;%2C&quot;fromPage&quot;%3A&quot;search&quot;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xr:uid="{0DF8113F-FC99-4EE5-AA10-D3185C367D08}"/>
    <hyperlink ref="F11" r:id="rId6" display="URL very long, shorted" xr:uid="{6AF65191-9093-44CA-A434-65AC2B9E3853}"/>
    <hyperlink ref="F13" r:id="rId7" display="URL very long, shorted" xr:uid="{E64F23B2-F270-4375-AA9A-287B3C507512}"/>
    <hyperlink ref="F15" r:id="rId8" xr:uid="{D7B157C8-755D-460E-BB17-513ED15287F9}"/>
    <hyperlink ref="F14" r:id="rId9" xr:uid="{4F798240-33D7-42F9-B6A3-5B5B9D2B205C}"/>
    <hyperlink ref="F3" r:id="rId10" display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&quot;order&quot;%3A&quot;7&quot;%2C&quot;spu_best_type&quot;%3A&quot;price&quot;%2C&quot;eval&quot;%3A&quot;1&quot;%2C&quot;sceneId&quot;%3A&quot;30050&quot;%2C&quot;fromPage&quot;%3A&quot;recommend&quot;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xr:uid="{4C6DB327-3B29-497A-9836-280FC066EBB3}"/>
    <hyperlink ref="F8" r:id="rId11" display="https://es.aliexpress.com/item/1005007508741840.html?spm=a2g0o.detail.pcDetailTopMoreOtherSeller.7.6ba16MtM6MtMrX&amp;gps-id=pcDetailTopMoreOtherSeller&amp;scm=1007.40050.354490.0&amp;scm_id=1007.40050.354490.0&amp;scm-url=1007.40050.354490.0&amp;pvid=c06a098e-7118-4985-8ba4-cb29b0157d8b&amp;_t=gps-id:pcDetailTopMoreOtherSeller,scm-url:1007.40050.354490.0,pvid:c06a098e-7118-4985-8ba4-cb29b0157d8b,tpp_buckets:668%232846%238111%231996&amp;pdp_ext_f=%7B&quot;order&quot;%3A&quot;259&quot;%2C&quot;eval&quot;%3A&quot;1&quot;%2C&quot;sceneId&quot;%3A&quot;30050&quot;%2C&quot;fromPage&quot;%3A&quot;recommend&quot;%7D&amp;pdp_npi=6%40dis%21USD%212.21%212.21%21%21%2115.20%2115.20%21%402101d97817747308544542936efa22%2112000041070118579%21rec%21CL%216626777930%21XZ%211%210%21n_tag%3A-29911%3Bd%3Aeb55f528%3Bm03_new_user%3A-29895&amp;utparam-url=scene%3ApcDetailTopMoreOtherSeller%7Cquery_from%3A%7Cx_object_id%3A1005007508741840%7C_p_origin_prod%3A" xr:uid="{92855497-DCF3-4FB4-954E-DA74E17A9E6E}"/>
    <hyperlink ref="F9" r:id="rId12" xr:uid="{5E4566A1-A9A7-4ECD-96CD-A4912373900A}"/>
    <hyperlink ref="F10" r:id="rId13" display="https://www.lindinger.at/en/AIRPLANES/ELECTRIC-POWERPLANTS/Propellers/Rigid-Propellers/AERONAUT-CAM-CARBON-LIGHT-11-5-CLOCKWISE-CW-Popeller/9709758" xr:uid="{78A19DBD-6F0A-4B57-ACE0-50E666B8B563}"/>
    <hyperlink ref="F12" r:id="rId14" display="https://es.aliexpress.com/item/1005007182410102.html" xr:uid="{480648C1-D138-4172-A1F3-6B9257B81573}"/>
  </hyperlinks>
  <pageMargins left="0.7" right="0.7" top="0.75" bottom="0.75" header="0.3" footer="0.3"/>
  <pageSetup orientation="portrait" r:id="rId15"/>
  <tableParts count="1"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2026-03-28T21:23:02Z</dcterms:modified>
</cp:coreProperties>
</file>