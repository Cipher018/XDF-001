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B6B006F5-DC80-4451-82F3-61819308D3A3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G16" i="1" s="1"/>
  <c r="E15" i="1"/>
  <c r="G15" i="1" s="1"/>
  <c r="E17" i="1"/>
  <c r="G17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2" i="1"/>
  <c r="G2" i="1" s="1"/>
</calcChain>
</file>

<file path=xl/sharedStrings.xml><?xml version="1.0" encoding="utf-8"?>
<sst xmlns="http://schemas.openxmlformats.org/spreadsheetml/2006/main" count="55" uniqueCount="40">
  <si>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</si>
  <si>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</si>
  <si>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</si>
  <si>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</si>
  <si>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</si>
  <si>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</si>
  <si>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</si>
  <si>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</si>
  <si>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</si>
  <si>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</si>
  <si>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</si>
  <si>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</si>
  <si>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Jumper Wires 120 pcs male-male female-male female-female</t>
  </si>
  <si>
    <t>LiPo Battery 3S 11.1V 2200mAh XT60</t>
  </si>
  <si>
    <t>IMAX B3 PRO 7.4V/11.1V 2S 3S 110-240V Compact Lipo Battery Balance Charger</t>
  </si>
  <si>
    <t>Development board required for both control and air-to-ground communication</t>
  </si>
  <si>
    <t>It allows for precise control with fewer pins for the servomotors used in the drone.</t>
  </si>
  <si>
    <t>It allows bidirectional and real-time communication between the two ESP32s, enabling the sending of commands and the reading of sensors.</t>
  </si>
  <si>
    <t>It delivers GPS data, speed, humidity, etc. Necessary for obtaining crucial data.</t>
  </si>
  <si>
    <t>The voltage regulator, set to 3.3V, allows powering the variety of devices present.</t>
  </si>
  <si>
    <t>Gyroscope, allows calculating aircraft attitude, acceleration, etc.</t>
  </si>
  <si>
    <t>Medium torque and speed servomotors will allow the movement of the control surfaces</t>
  </si>
  <si>
    <t>The brushless motor will be the heart of the drone and will provide thrust.</t>
  </si>
  <si>
    <t>Propeller of suitable diameter to maximize the aircraft's maneuverability and speed</t>
  </si>
  <si>
    <t>Nylon hinges will allow free movement of the control surfaces without compromising their integrity.</t>
  </si>
  <si>
    <t>A charger for lithium polymer batteries is the safest way to charge this type of battery.</t>
  </si>
  <si>
    <t>ESP-32 Devkit 38 pins</t>
  </si>
  <si>
    <t>8 pcs MG90S Servomotor</t>
  </si>
  <si>
    <t>Aliexpress</t>
  </si>
  <si>
    <t>Source</t>
  </si>
  <si>
    <t>electric propeller APC 11X7</t>
  </si>
  <si>
    <t>NEEBRC 3542 1000KV  2-4S Outrunner Brushless Motor for RC Fixed Wing Airplane</t>
  </si>
  <si>
    <t>RC FPV Micro Camera AIO 5.8G 25MW 40CH 800TVL Transmitter LST-S4 + FPV Camera with OSD Parts for Racing Drone</t>
  </si>
  <si>
    <t>The lithium polymer battery will provide sufficient voltage to operate the brushless motor.</t>
  </si>
  <si>
    <t>RedHobby 70A  2-7S Brushless Electronic Speed ​​Controller ESC 5V BEC Output for RC Airplane</t>
  </si>
  <si>
    <t>ESC and BEC that will allow to control the brushless motor and regulate the voltage to 5V</t>
  </si>
  <si>
    <t>It will allow solderless testing and communication between differents parts of the plane</t>
  </si>
  <si>
    <t>RC832 Video Image Transmission Receiver, SKY 32S 5.8G FPV Wireless Upgrade</t>
  </si>
  <si>
    <t>FPV Camera and transmisor that will allow to have video signal  in the plane</t>
  </si>
  <si>
    <t>FPV Video receiver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</si>
</sst>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20" totalsRowShown="0">
  <autoFilter ref="A1:G20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3641187997.html?spm=a2g0o.productlist.main.2.1b7d58fbkLj6rA&amp;algo_pvid=754d97d0-6ec2-4fd0-a717-f767fcf6ac4a&amp;algo_exp_id=754d97d0-6ec2-4fd0-a717-f767fcf6ac4a-1&amp;pdp_ext_f=%7B%22order%22%3A%2211794%22%2C%22spu_best_type%22%3A%22price%22%2C%22eval%22%3A%221%22%2C%22fromPage%22%3A%22search%22%7D&amp;pdp_npi=6%40dis%21USD%211.62%210.99%21%21%211.62%210.99%21%40210328c017668721227907999e13cd%2112000026613929400%21sea%21CL%210%21ABX%211%210%21n_tag%3A-29910%3Bd%3Aeb55f528%3Bm03_new_user%3A-29895%3BpisId%3A5000000187458893&amp;curPageLogUid=zozGouNQq1AL&amp;utparam-url=scene%3Asearch%7Cquery_from%3A%7Cx_object_id%3A1005003641187997%7C_p_origin_prod%3A" TargetMode="External"/><Relationship Id="rId13" Type="http://schemas.openxmlformats.org/officeDocument/2006/relationships/hyperlink" Target="https://es.aliexpress.com/item/1005007860592182.html?spm=a2g0o.productlist.main.2.1b14582ePfteMv&amp;algo_pvid=9af91279-34e4-421a-90c6-14c59f582f85&amp;algo_exp_id=9af91279-34e4-421a-90c6-14c59f582f85-1&amp;pdp_ext_f=%7B%22order%22%3A%222%22%2C%22eval%22%3A%221%22%2C%22fromPage%22%3A%22search%22%7D&amp;pdp_npi=6%40dis%21USD%2142.60%2117.45%21%21%21295.39%21120.99%21%40210328df17675699789217262ee33b%2112000042582729002%21sea%21CL%210%21ABX%211%210%21n_tag%3A-29910%3Bd%3Aeb55f528%3Bm03_new_user%3A-29895%3BpisId%3A5000000187458937&amp;curPageLogUid=HXqzDYBs8FZC&amp;utparam-url=scene%3Asearch%7Cquery_from%3A%7Cx_object_id%3A1005007860592182%7C_p_origin_prod%3A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7" Type="http://schemas.openxmlformats.org/officeDocument/2006/relationships/hyperlink" Target="https://es.aliexpress.com/item/1005008699103430.html?spm=a2g0o.productlist.main.13.38146882v01ee6&amp;utparam-url=scene%3Asearch%7Cquery_from%3Apc_back_same_best%7Cx_object_id%3A1005008699103430%7C_p_origin_prod%3A&amp;algo_pvid=67f63699-3acd-4912-9fdf-b3ffa75de1b2&amp;algo_exp_id=67f63699-3acd-4912-9fdf-b3ffa75de1b2&amp;pdp_ext_f=%7B%22order%22%3A%2269%22%2C%22fromPage%22%3A%22search%22%7D&amp;pdp_npi=6%40dis%21USD%216.12%216.12%21%21%216.12%216.12%21%40210311c217668731494362268ef4ec%2112000046298941861%21sea%21CL%210%21ABX%211%210%21n_tag%3A-29910%3Bd%3Aeb55f528%3Bm03_new_user%3A-29895" TargetMode="External"/><Relationship Id="rId12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es.aliexpress.com/item/1005005340535924.html?spm=a2g0o.productlist.main.5.704fbb59rINeoY&amp;algo_pvid=60d219f2-4db5-4eff-a151-c77fde30cbc1&amp;algo_exp_id=60d219f2-4db5-4eff-a151-c77fde30cbc1-53&amp;pdp_ext_f=%7B%22order%22%3A%229%22%2C%22spu_best_type%22%3A%22order%22%2C%22eval%22%3A%221%22%2C%22fromPage%22%3A%22search%22%7D&amp;pdp_npi=6%40dis%21USD%212.14%211.52%21%21%212.14%211.52%21%402103274e17668726812368440e0e6d%2112000032669516100%21sea%21CL%210%21ABX%211%210%21n_tag%3A-29910%3Bd%3Aeb55f528%3Bm03_new_user%3A-29895&amp;curPageLogUid=rXbYEdngIpOn&amp;utparam-url=scene%3Asearch%7Cquery_from%3A%7Cx_object_id%3A1005005340535924%7C_p_origin_prod%3A" TargetMode="External"/><Relationship Id="rId16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8562388527.html?spm=a2g0o.productlist.main.28.75946aa8zvRYq7&amp;aem_p4p_detail=202512271404578848786868195740002006255&amp;algo_pvid=596da885-ea80-48da-804e-a1da48883605&amp;algo_exp_id=596da885-ea80-48da-804e-a1da48883605-27&amp;pdp_ext_f=%7B%22order%22%3A%222%22%2C%22eval%22%3A%221%22%2C%22fromPage%22%3A%22search%22%7D&amp;pdp_npi=6%40dis%21USD%212.25%212.14%21%21%2115.65%2114.87%21%40210325a917668730974168046ee8d8%2112000045730770061%21sea%21CL%210%21ABX%211%210%21n_tag%3A-29910%3Bd%3Aeb55f528%3Bm03_new_user%3A-29895&amp;curPageLogUid=eBNUgolPz4tU&amp;utparam-url=scene%3Asearch%7Cquery_from%3A%7Cx_object_id%3A1005008562388527%7C_p_origin_prod%3A&amp;search_p4p_id=202512271404578848786868195740002006255_8" TargetMode="External"/><Relationship Id="rId11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5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15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0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4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9" Type="http://schemas.openxmlformats.org/officeDocument/2006/relationships/hyperlink" Target="https://es.aliexpress.com/item/853919130.html?spm=a2g0o.productlist.main.3.9baa36b0WcO4IP&amp;algo_pvid=62ab3076-6cbf-499a-8dd8-b99287dfb48f&amp;algo_exp_id=62ab3076-6cbf-499a-8dd8-b99287dfb48f-2&amp;pdp_ext_f=%7B%22order%22%3A%229%22%2C%22eval%22%3A%221%22%2C%22fromPage%22%3A%22search%22%7D&amp;pdp_npi=6%40dis%21USD%213.50%213.50%21%21%213.50%213.50%21%4021030a4b17668720564137216ed999%2165686922740%21sea%21CL%210%21ABX%211%210%21n_tag%3A-29910%3Bd%3Aeb55f528%3Bm03_new_user%3A-29895&amp;curPageLogUid=SyNdqojD2qkj&amp;utparam-url=scene%3Asearch%7Cquery_from%3A%7Cx_object_id%3A853919130%7C_p_origin_prod%3A" TargetMode="External"/><Relationship Id="rId14" Type="http://schemas.openxmlformats.org/officeDocument/2006/relationships/hyperlink" Target="https://es.aliexpress.com/item/1005010553807112.html?spm=a2g0o.productlist.main.18.68c5397ek43wRF&amp;aem_p4p_detail=2026010415453515404680346110170004556278&amp;algo_pvid=d9adf537-2e30-42b3-8537-875d68fcb4e0&amp;algo_exp_id=d9adf537-2e30-42b3-8537-875d68fcb4e0-15&amp;pdp_ext_f=%7B%22order%22%3A%22-1%22%2C%22eval%22%3A%221%22%2C%22fromPage%22%3A%22search%22%7D&amp;pdp_npi=6%40dis%21USD%2121.90%2110.95%21%21%2121.90%2110.95%21%402101d9ef17675703358256839e3f90%2112000052794512485%21sea%21CL%210%21ABX%211%210%21n_tag%3A-29910%3Bd%3Aeb55f528%3Bm03_new_user%3A-29895&amp;curPageLogUid=YNqNOqoEqoLV&amp;utparam-url=scene%3Asearch%7Cquery_from%3A%7Cx_object_id%3A1005010553807112%7C_p_origin_prod%3A&amp;search_p4p_id=2026010415453515404680346110170004556278_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20"/>
  <sheetViews>
    <sheetView tabSelected="1" zoomScale="70" zoomScaleNormal="70" workbookViewId="0">
      <selection activeCell="F16" sqref="F16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29</v>
      </c>
      <c r="G1" t="s">
        <v>5</v>
      </c>
    </row>
    <row r="2" spans="1:7" x14ac:dyDescent="0.3">
      <c r="A2" t="s">
        <v>26</v>
      </c>
      <c r="B2" t="s">
        <v>15</v>
      </c>
      <c r="C2">
        <v>1</v>
      </c>
      <c r="D2">
        <v>4.83</v>
      </c>
      <c r="E2">
        <f>Tabla1[[#This Row],[Quantity ]]*Tabla1[[#This Row],[Unit price]]</f>
        <v>4.83</v>
      </c>
      <c r="F2" s="3" t="s">
        <v>28</v>
      </c>
      <c r="G2">
        <f>ROUND(1.19*Tabla1[[#This Row],[Total Price]],2)</f>
        <v>5.75</v>
      </c>
    </row>
    <row r="3" spans="1:7" x14ac:dyDescent="0.3">
      <c r="A3" t="s">
        <v>6</v>
      </c>
      <c r="B3" t="s">
        <v>16</v>
      </c>
      <c r="C3">
        <v>1</v>
      </c>
      <c r="D3">
        <v>1.52</v>
      </c>
      <c r="E3">
        <f>Tabla1[[#This Row],[Quantity ]]*Tabla1[[#This Row],[Unit price]]</f>
        <v>1.52</v>
      </c>
      <c r="F3" s="3" t="s">
        <v>28</v>
      </c>
      <c r="G3">
        <f>ROUND(1.19*Tabla1[[#This Row],[Total Price]],2)</f>
        <v>1.81</v>
      </c>
    </row>
    <row r="4" spans="1:7" x14ac:dyDescent="0.3">
      <c r="A4" t="s">
        <v>9</v>
      </c>
      <c r="B4" t="s">
        <v>17</v>
      </c>
      <c r="C4">
        <v>2</v>
      </c>
      <c r="D4">
        <v>2.11</v>
      </c>
      <c r="E4">
        <f>Tabla1[[#This Row],[Quantity ]]*Tabla1[[#This Row],[Unit price]]</f>
        <v>4.22</v>
      </c>
      <c r="F4" s="3" t="s">
        <v>28</v>
      </c>
      <c r="G4">
        <f>ROUND(1.19*Tabla1[[#This Row],[Total Price]],2)</f>
        <v>5.0199999999999996</v>
      </c>
    </row>
    <row r="5" spans="1:7" x14ac:dyDescent="0.3">
      <c r="A5" t="s">
        <v>7</v>
      </c>
      <c r="B5" t="s">
        <v>18</v>
      </c>
      <c r="C5">
        <v>1</v>
      </c>
      <c r="D5">
        <v>2.58</v>
      </c>
      <c r="E5">
        <f>Tabla1[[#This Row],[Quantity ]]*Tabla1[[#This Row],[Unit price]]</f>
        <v>2.58</v>
      </c>
      <c r="F5" s="3" t="s">
        <v>28</v>
      </c>
      <c r="G5">
        <f>ROUND(1.19*Tabla1[[#This Row],[Total Price]],2)</f>
        <v>3.07</v>
      </c>
    </row>
    <row r="6" spans="1:7" x14ac:dyDescent="0.3">
      <c r="A6" t="s">
        <v>8</v>
      </c>
      <c r="B6" t="s">
        <v>19</v>
      </c>
      <c r="C6">
        <v>1</v>
      </c>
      <c r="D6">
        <v>0.7</v>
      </c>
      <c r="E6">
        <f>Tabla1[[#This Row],[Quantity ]]*Tabla1[[#This Row],[Unit price]]</f>
        <v>0.7</v>
      </c>
      <c r="F6" s="3" t="s">
        <v>28</v>
      </c>
      <c r="G6">
        <f>ROUND(1.19*Tabla1[[#This Row],[Total Price]],2)</f>
        <v>0.83</v>
      </c>
    </row>
    <row r="7" spans="1:7" x14ac:dyDescent="0.3">
      <c r="A7" t="s">
        <v>10</v>
      </c>
      <c r="B7" t="s">
        <v>20</v>
      </c>
      <c r="C7">
        <v>1</v>
      </c>
      <c r="D7">
        <v>2.14</v>
      </c>
      <c r="E7">
        <f>Tabla1[[#This Row],[Quantity ]]*Tabla1[[#This Row],[Unit price]]</f>
        <v>2.14</v>
      </c>
      <c r="F7" s="3" t="s">
        <v>28</v>
      </c>
      <c r="G7">
        <f>ROUND(1.19*Tabla1[[#This Row],[Total Price]],2)</f>
        <v>2.5499999999999998</v>
      </c>
    </row>
    <row r="8" spans="1:7" x14ac:dyDescent="0.3">
      <c r="A8" t="s">
        <v>27</v>
      </c>
      <c r="B8" t="s">
        <v>21</v>
      </c>
      <c r="C8">
        <v>1</v>
      </c>
      <c r="D8">
        <v>13.21</v>
      </c>
      <c r="E8">
        <f>Tabla1[[#This Row],[Quantity ]]*Tabla1[[#This Row],[Unit price]]</f>
        <v>13.21</v>
      </c>
      <c r="F8" s="3" t="s">
        <v>28</v>
      </c>
      <c r="G8">
        <f>ROUND(1.19*Tabla1[[#This Row],[Total Price]],2)</f>
        <v>15.72</v>
      </c>
    </row>
    <row r="9" spans="1:7" x14ac:dyDescent="0.3">
      <c r="A9" s="1" t="s">
        <v>31</v>
      </c>
      <c r="B9" t="s">
        <v>22</v>
      </c>
      <c r="C9">
        <v>1</v>
      </c>
      <c r="D9">
        <v>15.5</v>
      </c>
      <c r="E9">
        <f>Tabla1[[#This Row],[Quantity ]]*Tabla1[[#This Row],[Unit price]]</f>
        <v>15.5</v>
      </c>
      <c r="F9" s="3" t="s">
        <v>28</v>
      </c>
      <c r="G9">
        <f>ROUND(1.19*Tabla1[[#This Row],[Total Price]],2)</f>
        <v>18.45</v>
      </c>
    </row>
    <row r="10" spans="1:7" x14ac:dyDescent="0.3">
      <c r="A10" t="s">
        <v>12</v>
      </c>
      <c r="B10" t="s">
        <v>36</v>
      </c>
      <c r="C10">
        <v>1</v>
      </c>
      <c r="D10">
        <v>2.74</v>
      </c>
      <c r="E10">
        <f>Tabla1[[#This Row],[Quantity ]]*Tabla1[[#This Row],[Unit price]]</f>
        <v>2.74</v>
      </c>
      <c r="F10" s="3" t="s">
        <v>28</v>
      </c>
      <c r="G10">
        <f>ROUND(1.19*Tabla1[[#This Row],[Total Price]],2)</f>
        <v>3.26</v>
      </c>
    </row>
    <row r="11" spans="1:7" x14ac:dyDescent="0.3">
      <c r="A11" s="1" t="s">
        <v>30</v>
      </c>
      <c r="B11" t="s">
        <v>23</v>
      </c>
      <c r="C11">
        <v>1</v>
      </c>
      <c r="D11">
        <v>2.2000000000000002</v>
      </c>
      <c r="E11">
        <f>Tabla1[[#This Row],[Quantity ]]*Tabla1[[#This Row],[Unit price]]</f>
        <v>2.2000000000000002</v>
      </c>
      <c r="F11" s="3" t="s">
        <v>28</v>
      </c>
      <c r="G11">
        <f>ROUND(1.19*Tabla1[[#This Row],[Total Price]],2)</f>
        <v>2.62</v>
      </c>
    </row>
    <row r="12" spans="1:7" x14ac:dyDescent="0.3">
      <c r="A12" s="4" t="s">
        <v>11</v>
      </c>
      <c r="B12" t="s">
        <v>24</v>
      </c>
      <c r="C12">
        <v>1</v>
      </c>
      <c r="D12">
        <v>0.99</v>
      </c>
      <c r="E12">
        <f>Tabla1[[#This Row],[Quantity ]]*Tabla1[[#This Row],[Unit price]]</f>
        <v>0.99</v>
      </c>
      <c r="F12" s="3" t="s">
        <v>28</v>
      </c>
      <c r="G12">
        <f>ROUND(1.19*Tabla1[[#This Row],[Total Price]],2)</f>
        <v>1.18</v>
      </c>
    </row>
    <row r="13" spans="1:7" x14ac:dyDescent="0.3">
      <c r="A13" t="s">
        <v>13</v>
      </c>
      <c r="B13" t="s">
        <v>33</v>
      </c>
      <c r="C13">
        <v>1</v>
      </c>
      <c r="D13">
        <v>17.670000000000002</v>
      </c>
      <c r="E13">
        <f>Tabla1[[#This Row],[Quantity ]]*Tabla1[[#This Row],[Unit price]]</f>
        <v>17.670000000000002</v>
      </c>
      <c r="F13" s="3" t="s">
        <v>28</v>
      </c>
      <c r="G13">
        <f>ROUND(1.19*Tabla1[[#This Row],[Total Price]],2)</f>
        <v>21.03</v>
      </c>
    </row>
    <row r="14" spans="1:7" x14ac:dyDescent="0.3">
      <c r="A14" t="s">
        <v>14</v>
      </c>
      <c r="B14" t="s">
        <v>25</v>
      </c>
      <c r="C14">
        <v>1</v>
      </c>
      <c r="D14">
        <v>7.36</v>
      </c>
      <c r="E14">
        <f>Tabla1[[#This Row],[Quantity ]]*Tabla1[[#This Row],[Unit price]]</f>
        <v>7.36</v>
      </c>
      <c r="F14" s="3" t="s">
        <v>28</v>
      </c>
      <c r="G14">
        <f>ROUND(1.19*Tabla1[[#This Row],[Total Price]],2)</f>
        <v>8.76</v>
      </c>
    </row>
    <row r="15" spans="1:7" x14ac:dyDescent="0.3">
      <c r="A15" t="s">
        <v>34</v>
      </c>
      <c r="B15" t="s">
        <v>35</v>
      </c>
      <c r="C15">
        <v>1</v>
      </c>
      <c r="D15">
        <v>22.99</v>
      </c>
      <c r="E15">
        <f>Tabla1[[#This Row],[Quantity ]]*Tabla1[[#This Row],[Unit price]]</f>
        <v>22.99</v>
      </c>
      <c r="F15" s="3" t="s">
        <v>28</v>
      </c>
      <c r="G15">
        <f>ROUND(1.19*Tabla1[[#This Row],[Total Price]],2)</f>
        <v>27.36</v>
      </c>
    </row>
    <row r="16" spans="1:7" x14ac:dyDescent="0.3">
      <c r="A16" t="s">
        <v>32</v>
      </c>
      <c r="B16" t="s">
        <v>38</v>
      </c>
      <c r="C16">
        <v>1</v>
      </c>
      <c r="D16">
        <v>14.65</v>
      </c>
      <c r="E16">
        <f>Tabla1[[#This Row],[Quantity ]]*Tabla1[[#This Row],[Unit price]]</f>
        <v>14.65</v>
      </c>
      <c r="F16" s="3" t="s">
        <v>28</v>
      </c>
      <c r="G16">
        <f>ROUND(1.19*Tabla1[[#This Row],[Total Price]],2)</f>
        <v>17.43</v>
      </c>
    </row>
    <row r="17" spans="1:7" x14ac:dyDescent="0.3">
      <c r="A17" t="s">
        <v>37</v>
      </c>
      <c r="B17" t="s">
        <v>39</v>
      </c>
      <c r="C17">
        <v>1</v>
      </c>
      <c r="D17">
        <v>18.989999999999998</v>
      </c>
      <c r="E17">
        <f>Tabla1[[#This Row],[Quantity ]]*Tabla1[[#This Row],[Unit price]]</f>
        <v>18.989999999999998</v>
      </c>
      <c r="F17" s="3" t="s">
        <v>28</v>
      </c>
      <c r="G17">
        <f>ROUND(1.19*Tabla1[[#This Row],[Total Price]],2)</f>
        <v>22.6</v>
      </c>
    </row>
    <row r="18" spans="1:7" x14ac:dyDescent="0.3">
      <c r="A18" s="2"/>
      <c r="F18" s="3"/>
    </row>
    <row r="19" spans="1:7" x14ac:dyDescent="0.3">
      <c r="A19" s="2"/>
      <c r="F19" s="3"/>
    </row>
    <row r="20" spans="1:7" x14ac:dyDescent="0.3">
      <c r="A20" s="2"/>
      <c r="F20" s="3"/>
    </row>
  </sheetData>
  <hyperlinks>
    <hyperlink ref="F2" r:id="rId1" display="URL very long, shorted" xr:uid="{99A62D6B-955A-465D-9C6A-2BAD046A9049}"/>
    <hyperlink ref="F3" r:id="rId2" display="URL very long, shorted" xr:uid="{1B3F339E-6180-4794-AE9E-887FEDE8441C}"/>
    <hyperlink ref="F4" r:id="rId3" display="URL very long, shorted" xr:uid="{8E819B06-8183-48A6-B118-A91BE3A6E284}"/>
    <hyperlink ref="F5" r:id="rId4" display="URL very long, shorted" xr:uid="{1CE1FEDD-0883-422F-B918-52FF154AAD79}"/>
    <hyperlink ref="F6" r:id="rId5" display="URL very long, shorted" xr:uid="{ED55419D-2723-484E-911B-E97DC66A4B66}"/>
    <hyperlink ref="F7" r:id="rId6" display="URL very long, shorted" xr:uid="{0DF8113F-FC99-4EE5-AA10-D3185C367D08}"/>
    <hyperlink ref="F8" r:id="rId7" display="URL very long, shorted" xr:uid="{170C6CED-1834-4B92-A458-AE0F47B2B47E}"/>
    <hyperlink ref="F10" r:id="rId8" display="URL very long, shorted" xr:uid="{38C32916-7239-4B3F-8936-54EC9D8E2A94}"/>
    <hyperlink ref="F11" r:id="rId9" display="URL very long, shorted" xr:uid="{B869D917-0BBF-4FA2-9C08-6AB07DCF7FB0}"/>
    <hyperlink ref="F12" r:id="rId10" display="URL very long, shorted" xr:uid="{6AF65191-9093-44CA-A434-65AC2B9E3853}"/>
    <hyperlink ref="F13" r:id="rId11" display="URL very long, shorted" xr:uid="{480648C1-D138-4172-A1F3-6B9257B81573}"/>
    <hyperlink ref="F14" r:id="rId12" display="URL very long, shorted" xr:uid="{E64F23B2-F270-4375-AA9A-287B3C507512}"/>
    <hyperlink ref="F9" r:id="rId13" display="aa" xr:uid="{FABE7EDF-7DDE-462D-A255-256D487D3E16}"/>
    <hyperlink ref="F15" r:id="rId14" xr:uid="{26149171-8802-4F06-924C-935A7A889E39}"/>
    <hyperlink ref="F17" r:id="rId15" xr:uid="{D7B157C8-755D-460E-BB17-513ED15287F9}"/>
    <hyperlink ref="F16" r:id="rId16" xr:uid="{4F798240-33D7-42F9-B6A3-5B5B9D2B205C}"/>
  </hyperlinks>
  <pageMargins left="0.7" right="0.7" top="0.75" bottom="0.75" header="0.3" footer="0.3"/>
  <pageSetup orientation="portrait" r:id="rId17"/>
  <tableParts count="1"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2026-02-02T02:47:34Z</dcterms:modified>
</cp:coreProperties>
</file>