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vac\XDF-001\"/>
    </mc:Choice>
  </mc:AlternateContent>
  <xr:revisionPtr revIDLastSave="0" documentId="13_ncr:1_{E22F2B2C-058E-4331-91DA-4EC473C2D002}" xr6:coauthVersionLast="47" xr6:coauthVersionMax="47" xr10:uidLastSave="{00000000-0000-0000-0000-000000000000}"/>
  <bookViews>
    <workbookView xWindow="-108" yWindow="-108" windowWidth="23256" windowHeight="12456" xr2:uid="{57CB118E-8278-42F0-84AE-CA474A92FF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G16" i="1" s="1"/>
  <c r="E15" i="1"/>
  <c r="G15" i="1" s="1"/>
  <c r="E17" i="1"/>
  <c r="G17" i="1" s="1"/>
  <c r="E3" i="1"/>
  <c r="G3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2" i="1"/>
  <c r="G2" i="1" s="1"/>
</calcChain>
</file>

<file path=xl/sharedStrings.xml><?xml version="1.0" encoding="utf-8"?>
<sst xmlns="http://schemas.openxmlformats.org/spreadsheetml/2006/main" count="55" uniqueCount="40">
  <si>
    <t>Item</t>
  </si>
  <si>
    <t>Description</t>
  </si>
  <si>
    <t xml:space="preserve">Quantity </t>
  </si>
  <si>
    <t>Unit price</t>
  </si>
  <si>
    <t>Total Price</t>
  </si>
  <si>
    <t>Running Total ($ with Tax)</t>
  </si>
  <si>
    <t>PCA9685 Servomotor Driver</t>
  </si>
  <si>
    <t>NEO6M GPS Module</t>
  </si>
  <si>
    <t>MP1584EN Module</t>
  </si>
  <si>
    <t>nRF24l01+PLA Module</t>
  </si>
  <si>
    <t>MPU-9250 Module</t>
  </si>
  <si>
    <t>20pcs/lot nylon and tin-plated hinge board 12x24mm</t>
  </si>
  <si>
    <t>Jumper Wires 120 pcs male-male female-male female-female</t>
  </si>
  <si>
    <t>LiPo Battery 3S 11.1V 2200mAh XT60</t>
  </si>
  <si>
    <t>IMAX B3 PRO 7.4V/11.1V 2S 3S 110-240V Compact Lipo Battery Balance Charger</t>
  </si>
  <si>
    <t>Development board required for both control and air-to-ground communication</t>
  </si>
  <si>
    <t>It allows for precise control with fewer pins for the servomotors used in the drone.</t>
  </si>
  <si>
    <t>It allows bidirectional and real-time communication between the two ESP32s, enabling the sending of commands and the reading of sensors.</t>
  </si>
  <si>
    <t>It delivers GPS data, speed, humidity, etc. Necessary for obtaining crucial data.</t>
  </si>
  <si>
    <t>The voltage regulator, set to 3.3V, allows powering the variety of devices present.</t>
  </si>
  <si>
    <t>Gyroscope, allows calculating aircraft attitude, acceleration, etc.</t>
  </si>
  <si>
    <t>Medium torque and speed servomotors will allow the movement of the control surfaces</t>
  </si>
  <si>
    <t>The brushless motor will be the heart of the drone and will provide thrust.</t>
  </si>
  <si>
    <t>Propeller of suitable diameter to maximize the aircraft's maneuverability and speed</t>
  </si>
  <si>
    <t>Nylon hinges will allow free movement of the control surfaces without compromising their integrity.</t>
  </si>
  <si>
    <t>A charger for lithium polymer batteries is the safest way to charge this type of battery.</t>
  </si>
  <si>
    <t>ESP-32 Devkit 38 pins</t>
  </si>
  <si>
    <t>8 pcs MG90S Servomotor</t>
  </si>
  <si>
    <t>Aliexpress</t>
  </si>
  <si>
    <t>Source</t>
  </si>
  <si>
    <t>electric propeller APC 11X7</t>
  </si>
  <si>
    <t>NEEBRC 3542 1000KV  2-4S Outrunner Brushless Motor for RC Fixed Wing Airplane</t>
  </si>
  <si>
    <t>RC FPV Micro Camera AIO 5.8G 25MW 40CH 800TVL Transmitter LST-S4 + FPV Camera with OSD Parts for Racing Drone</t>
  </si>
  <si>
    <t>The lithium polymer battery will provide sufficient voltage to operate the brushless motor.</t>
  </si>
  <si>
    <t>RedHobby 70A  2-7S Brushless Electronic Speed ​​Controller ESC 5V BEC Output for RC Airplane</t>
  </si>
  <si>
    <t>ESC and BEC that will allow to control the brushless motor and regulate the voltage to 5V</t>
  </si>
  <si>
    <t>It will allow solderless testing and communication between differents parts of the plane</t>
  </si>
  <si>
    <t>RC832 Video Image Transmission Receiver, SKY 32S 5.8G FPV Wireless Upgrade</t>
  </si>
  <si>
    <t>FPV Camera and transmisor that will allow to have video signal  in the plane</t>
  </si>
  <si>
    <t>FPV Video receiver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</si>
</sst>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/>
    <xf numFmtId="0" fontId="3" fillId="0" borderId="0" xfId="0" applyFont="1"/>
    <xf numFmtId="0" fontId="4" fillId="0" borderId="0" xfId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A09E66-F98C-436E-88B2-F7F65A97D7EA}" name="Tabla1" displayName="Tabla1" ref="A1:G20" totalsRowShown="0">
  <autoFilter ref="A1:G20" xr:uid="{11A09E66-F98C-436E-88B2-F7F65A97D7EA}"/>
  <tableColumns count="7">
    <tableColumn id="1" xr3:uid="{B15320AC-39AF-49F6-85E9-A6118037BF1E}" name="Item"/>
    <tableColumn id="2" xr3:uid="{ED6149EA-8062-4364-85BB-6D993E2198BE}" name="Description"/>
    <tableColumn id="3" xr3:uid="{FF173F8F-44D3-4F68-B461-6E32CEE9287F}" name="Quantity "/>
    <tableColumn id="4" xr3:uid="{8C3DBC7D-6897-4270-9364-58D851391780}" name="Unit price"/>
    <tableColumn id="5" xr3:uid="{4593C27D-DB1A-4003-B91A-4A242409F05B}" name="Total Price">
      <calculatedColumnFormula>Tabla1[[#This Row],[Quantity ]]*Tabla1[[#This Row],[Unit price]]</calculatedColumnFormula>
    </tableColumn>
    <tableColumn id="6" xr3:uid="{70DCF84D-F679-4074-84C0-742A0980B954}" name="Source"/>
    <tableColumn id="7" xr3:uid="{74B24BCB-90B6-41C8-9F73-C54DA502394A}" name="Running Total ($ with Tax)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.aliexpress.com/item/853919130.html?spm=a2g0o.productlist.main.3.9baa36b0WcO4IP&amp;algo_pvid=62ab3076-6cbf-499a-8dd8-b99287dfb48f&amp;algo_exp_id=62ab3076-6cbf-499a-8dd8-b99287dfb48f-2&amp;pdp_ext_f=%7B%22order%22%3A%229%22%2C%22eval%22%3A%221%22%2C%22fromPage%22%3A%22search%22%7D&amp;pdp_npi=6%40dis%21USD%213.50%213.50%21%21%213.50%213.50%21%4021030a4b17668720564137216ed999%2165686922740%21sea%21CL%210%21ABX%211%210%21n_tag%3A-29910%3Bd%3Aeb55f528%3Bm03_new_user%3A-29895&amp;curPageLogUid=SyNdqojD2qkj&amp;utparam-url=scene%3Asearch%7Cquery_from%3A%7Cx_object_id%3A853919130%7C_p_origin_prod%3A" TargetMode="External"/><Relationship Id="rId13" Type="http://schemas.openxmlformats.org/officeDocument/2006/relationships/hyperlink" Target="https://es.aliexpress.com/item/1005010553807112.html?spm=a2g0o.productlist.main.18.68c5397ek43wRF&amp;aem_p4p_detail=2026010415453515404680346110170004556278&amp;algo_pvid=d9adf537-2e30-42b3-8537-875d68fcb4e0&amp;algo_exp_id=d9adf537-2e30-42b3-8537-875d68fcb4e0-15&amp;pdp_ext_f=%7B%22order%22%3A%22-1%22%2C%22eval%22%3A%221%22%2C%22fromPage%22%3A%22search%22%7D&amp;pdp_npi=6%40dis%21USD%2121.90%2110.95%21%21%2121.90%2110.95%21%402101d9ef17675703358256839e3f90%2112000052794512485%21sea%21CL%210%21ABX%211%210%21n_tag%3A-29910%3Bd%3Aeb55f528%3Bm03_new_user%3A-29895&amp;curPageLogUid=YNqNOqoEqoLV&amp;utparam-url=scene%3Asearch%7Cquery_from%3A%7Cx_object_id%3A1005010553807112%7C_p_origin_prod%3A&amp;search_p4p_id=2026010415453515404680346110170004556278_4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es.aliexpress.com/item/1005005392489486.html?spm=a2g0o.productlist.main.61.6d5a7b36oTXVMC&amp;utparam-url=scene%3Asearch%7Cquery_from%3Apc_back_same_best%7Cx_object_id%3A1005005392489486%7C_p_origin_prod%3A&amp;algo_pvid=2a2ddc30-49a7-491e-a55d-5e63838ab23c&amp;algo_exp_id=2a2ddc30-49a7-491e-a55d-5e63838ab23c&amp;pdp_ext_f=%7B%22order%22%3A%226%22%2C%22fromPage%22%3A%22search%22%7D&amp;pdp_npi=6%40dis%21USD%212.11%212.11%21%21%212.11%212.11%21%402103274e17668729080428683e0e67%2112000032873703259%21sea%21CL%210%21ABX%211%210%21n_tag%3A-29910%3Bd%3Aeb55f528%3Bm03_new_user%3A-29895" TargetMode="External"/><Relationship Id="rId7" Type="http://schemas.openxmlformats.org/officeDocument/2006/relationships/hyperlink" Target="https://es.aliexpress.com/item/1005003641187997.html?spm=a2g0o.productlist.main.2.1b7d58fbkLj6rA&amp;algo_pvid=754d97d0-6ec2-4fd0-a717-f767fcf6ac4a&amp;algo_exp_id=754d97d0-6ec2-4fd0-a717-f767fcf6ac4a-1&amp;pdp_ext_f=%7B%22order%22%3A%2211794%22%2C%22spu_best_type%22%3A%22price%22%2C%22eval%22%3A%221%22%2C%22fromPage%22%3A%22search%22%7D&amp;pdp_npi=6%40dis%21USD%211.62%210.99%21%21%211.62%210.99%21%40210328c017668721227907999e13cd%2112000026613929400%21sea%21CL%210%21ABX%211%210%21n_tag%3A-29910%3Bd%3Aeb55f528%3Bm03_new_user%3A-29895%3BpisId%3A5000000187458893&amp;curPageLogUid=zozGouNQq1AL&amp;utparam-url=scene%3Asearch%7Cquery_from%3A%7Cx_object_id%3A1005003641187997%7C_p_origin_prod%3A" TargetMode="External"/><Relationship Id="rId12" Type="http://schemas.openxmlformats.org/officeDocument/2006/relationships/hyperlink" Target="https://es.aliexpress.com/item/1005007860592182.html?spm=a2g0o.productlist.main.2.1b14582ePfteMv&amp;algo_pvid=9af91279-34e4-421a-90c6-14c59f582f85&amp;algo_exp_id=9af91279-34e4-421a-90c6-14c59f582f85-1&amp;pdp_ext_f=%7B%22order%22%3A%222%22%2C%22eval%22%3A%221%22%2C%22fromPage%22%3A%22search%22%7D&amp;pdp_npi=6%40dis%21USD%2142.60%2117.45%21%21%21295.39%21120.99%21%40210328df17675699789217262ee33b%2112000042582729002%21sea%21CL%210%21ABX%211%210%21n_tag%3A-29910%3Bd%3Aeb55f528%3Bm03_new_user%3A-29895%3BpisId%3A5000000187458937&amp;curPageLogUid=HXqzDYBs8FZC&amp;utparam-url=scene%3Asearch%7Cquery_from%3A%7Cx_object_id%3A1005007860592182%7C_p_origin_prod%3A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es.aliexpress.com/item/1005005340535924.html?spm=a2g0o.productlist.main.5.704fbb59rINeoY&amp;algo_pvid=60d219f2-4db5-4eff-a151-c77fde30cbc1&amp;algo_exp_id=60d219f2-4db5-4eff-a151-c77fde30cbc1-53&amp;pdp_ext_f=%7B%22order%22%3A%229%22%2C%22spu_best_type%22%3A%22order%22%2C%22eval%22%3A%221%22%2C%22fromPage%22%3A%22search%22%7D&amp;pdp_npi=6%40dis%21USD%212.14%211.52%21%21%212.14%211.52%21%402103274e17668726812368440e0e6d%2112000032669516100%21sea%21CL%210%21ABX%211%210%21n_tag%3A-29910%3Bd%3Aeb55f528%3Bm03_new_user%3A-29895&amp;curPageLogUid=rXbYEdngIpOn&amp;utparam-url=scene%3Asearch%7Cquery_from%3A%7Cx_object_id%3A1005005340535924%7C_p_origin_prod%3A" TargetMode="External"/><Relationship Id="rId16" Type="http://schemas.openxmlformats.org/officeDocument/2006/relationships/hyperlink" Target="https://es.aliexpress.com/item/1005008699103430.html?spm=a2g0o.productlist.main.13.38146882v01ee6&amp;utparam-url=scene%3Asearch%7Cquery_from%3Apc_back_same_best%7Cx_object_id%3A1005008699103430%7C_p_origin_prod%3A&amp;algo_pvid=67f63699-3acd-4912-9fdf-b3ffa75de1b2&amp;algo_exp_id=67f63699-3acd-4912-9fdf-b3ffa75de1b2&amp;pdp_ext_f=%7B%22order%22%3A%2269%22%2C%22fromPage%22%3A%22search%22%7D&amp;pdp_npi=6%40dis%21USD%216.12%216.12%21%21%216.12%216.12%21%40210311c217668731494362268ef4ec%2112000046298941861%21sea%21CL%210%21ABX%211%210%21n_tag%3A-29910%3Bd%3Aeb55f528%3Bm03_new_user%3A-29895" TargetMode="External"/><Relationship Id="rId1" Type="http://schemas.openxmlformats.org/officeDocument/2006/relationships/hyperlink" Target="https://es.aliexpress.com/item/1005001838731651.html?spm=a2g0o.productlist.main.18.6aefAaMDAaMDfQ&amp;algo_pvid=d139c637-1bda-40c7-91ef-705adb1c6616&amp;algo_exp_id=d139c637-1bda-40c7-91ef-705adb1c6616-17&amp;pdp_ext_f=%7B%22order%22%3A%2236%22%2C%22eval%22%3A%221%22%2C%22fromPage%22%3A%22search%22%7D&amp;pdp_npi=6%40dis%21USD%213.34%213.34%21%21%213.34%213.34%21%4021033d9d17668726156532986ee92f%2112000030215458678%21sea%21CL%210%21ABX%211%210%21n_tag%3A-29910%3Bd%3Aeb55f528%3Bm03_new_user%3A-29895&amp;curPageLogUid=kPFgvXo63lz3&amp;utparam-url=scene%3Asearch%7Cquery_from%3A%7Cx_object_id%3A1005001838731651%7C_p_origin_prod%3A" TargetMode="External"/><Relationship Id="rId6" Type="http://schemas.openxmlformats.org/officeDocument/2006/relationships/hyperlink" Target="https://es.aliexpress.com/item/1005009122504274.html?spm=a2g0o.productlist.main.7.5f89748boATUNm&amp;algo_pvid=3013834c-bec4-4311-b0aa-2a86e15363f8&amp;algo_exp_id=3013834c-bec4-4311-b0aa-2a86e15363f8-6&amp;pdp_ext_f=%7B%22order%22%3A%22107%22%2C%22eval%22%3A%221%22%2C%22fromPage%22%3A%22search%22%7D&amp;pdp_npi=6%40dis%21USD%212.94%212.94%21%21%212.94%212.94%21%402103212317704160897088421e55e9%2112000047991346899%21sea%21CL%210%21ABX%211%210%21n_tag%3A-29910%3Bd%3Aeb55f528%3Bm03_new_user%3A-29895&amp;curPageLogUid=i9Z3rLjRO4sc&amp;utparam-url=scene%3Asearch%7Cquery_from%3A%7Cx_object_id%3A1005009122504274%7C_p_origin_prod%3A" TargetMode="External"/><Relationship Id="rId11" Type="http://schemas.openxmlformats.org/officeDocument/2006/relationships/hyperlink" Target="https://es.aliexpress.com/item/1005005136510204.html?spm=a2g0o.productlist.main.2.1c755133lrSZXw&amp;algo_pvid=cfea2ff0-0482-4041-9eba-407e09f7df60&amp;algo_exp_id=cfea2ff0-0482-4041-9eba-407e09f7df60-1&amp;pdp_ext_f=%7B%22order%22%3A%2285%22%2C%22spu_best_type%22%3A%22order%22%2C%22eval%22%3A%221%22%2C%22fromPage%22%3A%22search%22%7D&amp;pdp_npi=6%40dis%21USD%2123.83%217.36%21%21%21165.97%2151.29%21%4021033d1217668751951776208ee53b%2112000032033045913%21sea%21CL%210%21ABX%211%210%21n_tag%3A-29910%3Bd%3Aeb55f528%3Bm03_new_user%3A-29895%3BpisId%3A5000000187458893&amp;curPageLogUid=egYPFsaawe16&amp;utparam-url=scene%3Asearch%7Cquery_from%3A%7Cx_object_id%3A1005005136510204%7C_p_origin_prod%3A" TargetMode="External"/><Relationship Id="rId5" Type="http://schemas.openxmlformats.org/officeDocument/2006/relationships/hyperlink" Target="https://es.aliexpress.com/item/1005007510639297.html?spm=a2g0o.productlist.main.21.123749cdu2YQZl&amp;algo_pvid=f33fe4d4-d1fa-41c5-9cda-1c24032493af&amp;algo_exp_id=f33fe4d4-d1fa-41c5-9cda-1c24032493af-18&amp;pdp_ext_f=%7B%22order%22%3A%2253%22%2C%22eval%22%3A%221%22%2C%22fromPage%22%3A%22search%22%7D&amp;pdp_npi=6%40dis%21USD%210.69%210.69%21%21%210.69%210.69%21%402103110517668730162028434ee199%2112000041075639944%21sea%21CL%210%21ABX%211%210%21n_tag%3A-29910%3Bd%3Aeb55f528%3Bm03_new_user%3A-29895&amp;curPageLogUid=SD7vrXFsh4I0&amp;utparam-url=scene%3Asearch%7Cquery_from%3A%7Cx_object_id%3A1005007510639297%7C_p_origin_prod%3A" TargetMode="External"/><Relationship Id="rId15" Type="http://schemas.openxmlformats.org/officeDocument/2006/relationships/hyperlink" Target="https://es.aliexpress.com/item/1005007250358286.html?spm=a2g0o.productlist.main.4.286f4383pkcXG0&amp;algo_pvid=1356f44b-da3a-4f16-acb2-5350321b90cb&amp;algo_exp_id=1356f44b-da3a-4f16-acb2-5350321b90cb-3&amp;pdp_ext_f=%7B%22order%22%3A%22167%22%2C%22eval%22%3A%221%22%2C%22fromPage%22%3A%22search%22%7D&amp;pdp_npi=6%40dis%21USD%2155.33%2114.65%21%21%21383.70%21101.61%21%402101e2b617675712158582197ee6a5%2112000039948782824%21sea%21CL%210%21ABX%211%210%21n_tag%3A-29910%3Bd%3Aeb55f528%3Bm03_new_user%3A-29895%3BpisId%3A5000000187458929&amp;curPageLogUid=DFjszz4A4cBs&amp;utparam-url=scene%3Asearch%7Cquery_from%3A%7Cx_object_id%3A1005007250358286%7C_p_origin_prod%3A" TargetMode="External"/><Relationship Id="rId10" Type="http://schemas.openxmlformats.org/officeDocument/2006/relationships/hyperlink" Target="https://es.aliexpress.com/item/1005010535385320.html?spm=a2g0o.productlist.main.5.694e3036dOw3x8&amp;algo_pvid=b80d14ac-2eb8-454b-9622-73ac577bed24&amp;algo_exp_id=b80d14ac-2eb8-454b-9622-73ac577bed24-4&amp;pdp_ext_f=%7B%22order%22%3A%221%22%2C%22eval%22%3A%221%22%2C%22fromPage%22%3A%22search%22%7D&amp;pdp_npi=6%40dis%21CLP%2120721%2110600%21%21%21155.46%2179.53%21%402101ee6617664208804183520eaceb%2112000052735840324%21sea%21CL%210%21ABX%211%210%21n_tag%3A-29910%3Bd%3Aeb55f528%3Bm03_new_user%3A-29895%3BpisId%3A5000000187458941&amp;curPageLogUid=aXInLcoxzZQB&amp;utparam-url=scene%3Asearch%7Cquery_from%3A%7Cx_object_id%3A1005010535385320%7C_p_origin_prod%3A" TargetMode="External"/><Relationship Id="rId4" Type="http://schemas.openxmlformats.org/officeDocument/2006/relationships/hyperlink" Target="https://es.aliexpress.com/item/1005009301460295.html?spm=a2g0o.productlist.main.2.6e7b546aTtN7q9&amp;algo_pvid=cd9f6df0-bdd4-4e11-b4e6-43887aaf22cf&amp;algo_exp_id=cd9f6df0-bdd4-4e11-b4e6-43887aaf22cf-1&amp;pdp_ext_f=%7B%22order%22%3A%2240%22%2C%22eval%22%3A%221%22%2C%22fromPage%22%3A%22search%22%7D&amp;pdp_npi=6%40dis%21USD%2112.94%212.58%21%21%2190.14%2118.00%21%402101eee917668729646036661ea8d4%2112000048669875233%21sea%21CL%210%21ABX%211%210%21n_tag%3A-29910%3Bd%3Aeb55f528%3Bm03_new_user%3A-29895%3BpisId%3A5000000187458941&amp;curPageLogUid=0pwpEmsQtlzq&amp;utparam-url=scene%3Asearch%7Cquery_from%3A%7Cx_object_id%3A1005009301460295%7C_p_origin_prod%3A" TargetMode="External"/><Relationship Id="rId9" Type="http://schemas.openxmlformats.org/officeDocument/2006/relationships/hyperlink" Target="https://es.aliexpress.com/item/1005003378453697.html?spm=a2g0o.productlist.main.3.bd4ep9BYp9BYua&amp;algo_pvid=ccdc4b03-4f7e-4354-9447-b0bb7d69212e&amp;algo_exp_id=ccdc4b03-4f7e-4354-9447-b0bb7d69212e-2&amp;pdp_ext_f=%7B%22order%22%3A%22270%22%2C%22spu_best_type%22%3A%22price%22%2C%22eval%22%3A%221%22%2C%22fromPage%22%3A%22search%22%7D&amp;pdp_npi=6%40dis%21USD%212.14%210.99%21%21%212.14%210.99%21%4021030a4b17668720604047323ed999%2112000025503609437%21sea%21CL%210%21ABX%211%210%21n_tag%3A-29910%3Bd%3Aeb55f528%3Bm03_new_user%3A-29895%3BpisId%3A5000000187458941&amp;curPageLogUid=IF5w2F3Gs84q&amp;utparam-url=scene%3Asearch%7Cquery_from%3A%7Cx_object_id%3A1005003378453697%7C_p_origin_prod%3A" TargetMode="External"/><Relationship Id="rId14" Type="http://schemas.openxmlformats.org/officeDocument/2006/relationships/hyperlink" Target="https://es.aliexpress.com/item/4001042825044.html?spm=a2g0o.productlist.main.6.7ff17e39E4L4gD&amp;algo_pvid=e66072a5-80af-474e-9063-b0709351b404&amp;algo_exp_id=e66072a5-80af-474e-9063-b0709351b404-7&amp;pdp_ext_f=%7B%22order%22%3A%223%22%2C%22eval%22%3A%221%22%2C%22fromPage%22%3A%22search%22%7D&amp;pdp_npi=6%40dis%21USD%2118.99%2118.99%21%21%2118.99%2118.99%21%402103128917677509412002200e4439%2110000013716139272%21sea%21CL%210%21ABX%211%210%21n_tag%3A-29910%3Bd%3Aeb55f528%3Bm03_new_user%3A-29895&amp;curPageLogUid=PASqTpSbmsib&amp;utparam-url=scene%3Asearch%7Cquery_from%3A%7Cx_object_id%3A4001042825044%7C_p_origin_prod%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7163-453F-4780-A8B8-99304635E2FD}">
  <dimension ref="A1:G20"/>
  <sheetViews>
    <sheetView tabSelected="1" zoomScale="70" zoomScaleNormal="70" workbookViewId="0">
      <selection activeCell="F16" sqref="F16"/>
    </sheetView>
  </sheetViews>
  <sheetFormatPr baseColWidth="10" defaultRowHeight="14.4" x14ac:dyDescent="0.3"/>
  <cols>
    <col min="1" max="1" width="98.21875" customWidth="1"/>
    <col min="2" max="2" width="128" customWidth="1"/>
    <col min="4" max="4" width="18.77734375" customWidth="1"/>
    <col min="5" max="5" width="16.21875" customWidth="1"/>
    <col min="6" max="6" width="12.21875" customWidth="1"/>
    <col min="7" max="7" width="22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</v>
      </c>
      <c r="G1" t="s">
        <v>5</v>
      </c>
    </row>
    <row r="2" spans="1:7" x14ac:dyDescent="0.3">
      <c r="A2" t="s">
        <v>26</v>
      </c>
      <c r="B2" t="s">
        <v>15</v>
      </c>
      <c r="C2">
        <v>1</v>
      </c>
      <c r="D2">
        <v>4.83</v>
      </c>
      <c r="E2">
        <f>Tabla1[[#This Row],[Quantity ]]*Tabla1[[#This Row],[Unit price]]</f>
        <v>4.83</v>
      </c>
      <c r="F2" s="3" t="s">
        <v>28</v>
      </c>
      <c r="G2">
        <f>ROUND(1.19*Tabla1[[#This Row],[Total Price]],2)</f>
        <v>5.75</v>
      </c>
    </row>
    <row r="3" spans="1:7" x14ac:dyDescent="0.3">
      <c r="A3" t="s">
        <v>6</v>
      </c>
      <c r="B3" t="s">
        <v>16</v>
      </c>
      <c r="C3">
        <v>1</v>
      </c>
      <c r="D3">
        <v>1.52</v>
      </c>
      <c r="E3">
        <f>Tabla1[[#This Row],[Quantity ]]*Tabla1[[#This Row],[Unit price]]</f>
        <v>1.52</v>
      </c>
      <c r="F3" s="3" t="s">
        <v>28</v>
      </c>
      <c r="G3">
        <f>ROUND(1.19*Tabla1[[#This Row],[Total Price]],2)</f>
        <v>1.81</v>
      </c>
    </row>
    <row r="4" spans="1:7" x14ac:dyDescent="0.3">
      <c r="A4" t="s">
        <v>9</v>
      </c>
      <c r="B4" t="s">
        <v>17</v>
      </c>
      <c r="C4">
        <v>2</v>
      </c>
      <c r="D4">
        <v>2.11</v>
      </c>
      <c r="E4">
        <f>Tabla1[[#This Row],[Quantity ]]*Tabla1[[#This Row],[Unit price]]</f>
        <v>4.22</v>
      </c>
      <c r="F4" s="3" t="s">
        <v>28</v>
      </c>
      <c r="G4">
        <f>ROUND(1.19*Tabla1[[#This Row],[Total Price]],2)</f>
        <v>5.0199999999999996</v>
      </c>
    </row>
    <row r="5" spans="1:7" x14ac:dyDescent="0.3">
      <c r="A5" t="s">
        <v>7</v>
      </c>
      <c r="B5" t="s">
        <v>18</v>
      </c>
      <c r="C5">
        <v>1</v>
      </c>
      <c r="D5">
        <v>2.58</v>
      </c>
      <c r="E5">
        <f>Tabla1[[#This Row],[Quantity ]]*Tabla1[[#This Row],[Unit price]]</f>
        <v>2.58</v>
      </c>
      <c r="F5" s="3" t="s">
        <v>28</v>
      </c>
      <c r="G5">
        <f>ROUND(1.19*Tabla1[[#This Row],[Total Price]],2)</f>
        <v>3.07</v>
      </c>
    </row>
    <row r="6" spans="1:7" x14ac:dyDescent="0.3">
      <c r="A6" t="s">
        <v>8</v>
      </c>
      <c r="B6" t="s">
        <v>19</v>
      </c>
      <c r="C6">
        <v>1</v>
      </c>
      <c r="D6">
        <v>0.7</v>
      </c>
      <c r="E6">
        <f>Tabla1[[#This Row],[Quantity ]]*Tabla1[[#This Row],[Unit price]]</f>
        <v>0.7</v>
      </c>
      <c r="F6" s="3" t="s">
        <v>28</v>
      </c>
      <c r="G6">
        <f>ROUND(1.19*Tabla1[[#This Row],[Total Price]],2)</f>
        <v>0.83</v>
      </c>
    </row>
    <row r="7" spans="1:7" x14ac:dyDescent="0.3">
      <c r="A7" t="s">
        <v>10</v>
      </c>
      <c r="B7" t="s">
        <v>20</v>
      </c>
      <c r="C7">
        <v>1</v>
      </c>
      <c r="D7">
        <v>2.14</v>
      </c>
      <c r="E7">
        <f>Tabla1[[#This Row],[Quantity ]]*Tabla1[[#This Row],[Unit price]]</f>
        <v>2.14</v>
      </c>
      <c r="F7" s="3" t="s">
        <v>28</v>
      </c>
      <c r="G7">
        <f>ROUND(1.19*Tabla1[[#This Row],[Total Price]],2)</f>
        <v>2.5499999999999998</v>
      </c>
    </row>
    <row r="8" spans="1:7" x14ac:dyDescent="0.3">
      <c r="A8" t="s">
        <v>27</v>
      </c>
      <c r="B8" t="s">
        <v>21</v>
      </c>
      <c r="C8">
        <v>1</v>
      </c>
      <c r="D8">
        <v>13.21</v>
      </c>
      <c r="E8">
        <f>Tabla1[[#This Row],[Quantity ]]*Tabla1[[#This Row],[Unit price]]</f>
        <v>13.21</v>
      </c>
      <c r="F8" s="3" t="s">
        <v>28</v>
      </c>
      <c r="G8">
        <f>ROUND(1.19*Tabla1[[#This Row],[Total Price]],2)</f>
        <v>15.72</v>
      </c>
    </row>
    <row r="9" spans="1:7" x14ac:dyDescent="0.3">
      <c r="A9" s="1" t="s">
        <v>31</v>
      </c>
      <c r="B9" t="s">
        <v>22</v>
      </c>
      <c r="C9">
        <v>1</v>
      </c>
      <c r="D9">
        <v>15.5</v>
      </c>
      <c r="E9">
        <f>Tabla1[[#This Row],[Quantity ]]*Tabla1[[#This Row],[Unit price]]</f>
        <v>15.5</v>
      </c>
      <c r="F9" s="3" t="s">
        <v>28</v>
      </c>
      <c r="G9">
        <f>ROUND(1.19*Tabla1[[#This Row],[Total Price]],2)</f>
        <v>18.45</v>
      </c>
    </row>
    <row r="10" spans="1:7" x14ac:dyDescent="0.3">
      <c r="A10" t="s">
        <v>12</v>
      </c>
      <c r="B10" t="s">
        <v>36</v>
      </c>
      <c r="C10">
        <v>1</v>
      </c>
      <c r="D10">
        <v>2.74</v>
      </c>
      <c r="E10">
        <f>Tabla1[[#This Row],[Quantity ]]*Tabla1[[#This Row],[Unit price]]</f>
        <v>2.74</v>
      </c>
      <c r="F10" s="3" t="s">
        <v>28</v>
      </c>
      <c r="G10">
        <f>ROUND(1.19*Tabla1[[#This Row],[Total Price]],2)</f>
        <v>3.26</v>
      </c>
    </row>
    <row r="11" spans="1:7" x14ac:dyDescent="0.3">
      <c r="A11" s="1" t="s">
        <v>30</v>
      </c>
      <c r="B11" t="s">
        <v>23</v>
      </c>
      <c r="C11">
        <v>1</v>
      </c>
      <c r="D11">
        <v>2.2000000000000002</v>
      </c>
      <c r="E11">
        <f>Tabla1[[#This Row],[Quantity ]]*Tabla1[[#This Row],[Unit price]]</f>
        <v>2.2000000000000002</v>
      </c>
      <c r="F11" s="3" t="s">
        <v>28</v>
      </c>
      <c r="G11">
        <f>ROUND(1.19*Tabla1[[#This Row],[Total Price]],2)</f>
        <v>2.62</v>
      </c>
    </row>
    <row r="12" spans="1:7" x14ac:dyDescent="0.3">
      <c r="A12" s="4" t="s">
        <v>11</v>
      </c>
      <c r="B12" t="s">
        <v>24</v>
      </c>
      <c r="C12">
        <v>1</v>
      </c>
      <c r="D12">
        <v>0.99</v>
      </c>
      <c r="E12">
        <f>Tabla1[[#This Row],[Quantity ]]*Tabla1[[#This Row],[Unit price]]</f>
        <v>0.99</v>
      </c>
      <c r="F12" s="3" t="s">
        <v>28</v>
      </c>
      <c r="G12">
        <f>ROUND(1.19*Tabla1[[#This Row],[Total Price]],2)</f>
        <v>1.18</v>
      </c>
    </row>
    <row r="13" spans="1:7" x14ac:dyDescent="0.3">
      <c r="A13" t="s">
        <v>13</v>
      </c>
      <c r="B13" t="s">
        <v>33</v>
      </c>
      <c r="C13">
        <v>1</v>
      </c>
      <c r="D13">
        <v>17.670000000000002</v>
      </c>
      <c r="E13">
        <f>Tabla1[[#This Row],[Quantity ]]*Tabla1[[#This Row],[Unit price]]</f>
        <v>17.670000000000002</v>
      </c>
      <c r="F13" s="3" t="s">
        <v>28</v>
      </c>
      <c r="G13">
        <f>ROUND(1.19*Tabla1[[#This Row],[Total Price]],2)</f>
        <v>21.03</v>
      </c>
    </row>
    <row r="14" spans="1:7" x14ac:dyDescent="0.3">
      <c r="A14" t="s">
        <v>14</v>
      </c>
      <c r="B14" t="s">
        <v>25</v>
      </c>
      <c r="C14">
        <v>1</v>
      </c>
      <c r="D14">
        <v>7.36</v>
      </c>
      <c r="E14">
        <f>Tabla1[[#This Row],[Quantity ]]*Tabla1[[#This Row],[Unit price]]</f>
        <v>7.36</v>
      </c>
      <c r="F14" s="3" t="s">
        <v>28</v>
      </c>
      <c r="G14">
        <f>ROUND(1.19*Tabla1[[#This Row],[Total Price]],2)</f>
        <v>8.76</v>
      </c>
    </row>
    <row r="15" spans="1:7" x14ac:dyDescent="0.3">
      <c r="A15" t="s">
        <v>34</v>
      </c>
      <c r="B15" t="s">
        <v>35</v>
      </c>
      <c r="C15">
        <v>1</v>
      </c>
      <c r="D15">
        <v>22.99</v>
      </c>
      <c r="E15">
        <f>Tabla1[[#This Row],[Quantity ]]*Tabla1[[#This Row],[Unit price]]</f>
        <v>22.99</v>
      </c>
      <c r="F15" s="3" t="s">
        <v>28</v>
      </c>
      <c r="G15">
        <f>ROUND(1.19*Tabla1[[#This Row],[Total Price]],2)</f>
        <v>27.36</v>
      </c>
    </row>
    <row r="16" spans="1:7" x14ac:dyDescent="0.3">
      <c r="A16" t="s">
        <v>32</v>
      </c>
      <c r="B16" t="s">
        <v>38</v>
      </c>
      <c r="C16">
        <v>1</v>
      </c>
      <c r="D16">
        <v>14.65</v>
      </c>
      <c r="E16">
        <f>Tabla1[[#This Row],[Quantity ]]*Tabla1[[#This Row],[Unit price]]</f>
        <v>14.65</v>
      </c>
      <c r="F16" s="5" t="s">
        <v>28</v>
      </c>
      <c r="G16">
        <f>ROUND(1.19*Tabla1[[#This Row],[Total Price]],2)</f>
        <v>17.43</v>
      </c>
    </row>
    <row r="17" spans="1:7" x14ac:dyDescent="0.3">
      <c r="A17" t="s">
        <v>37</v>
      </c>
      <c r="B17" t="s">
        <v>39</v>
      </c>
      <c r="C17">
        <v>1</v>
      </c>
      <c r="D17">
        <v>18.989999999999998</v>
      </c>
      <c r="E17">
        <f>Tabla1[[#This Row],[Quantity ]]*Tabla1[[#This Row],[Unit price]]</f>
        <v>18.989999999999998</v>
      </c>
      <c r="F17" s="3" t="s">
        <v>28</v>
      </c>
      <c r="G17">
        <f>ROUND(1.19*Tabla1[[#This Row],[Total Price]],2)</f>
        <v>22.6</v>
      </c>
    </row>
    <row r="18" spans="1:7" x14ac:dyDescent="0.3">
      <c r="A18" s="2"/>
      <c r="F18" s="3"/>
    </row>
    <row r="19" spans="1:7" x14ac:dyDescent="0.3">
      <c r="A19" s="2"/>
      <c r="F19" s="3"/>
    </row>
    <row r="20" spans="1:7" x14ac:dyDescent="0.3">
      <c r="A20" s="2"/>
      <c r="F20" s="3"/>
    </row>
  </sheetData>
  <hyperlinks>
    <hyperlink ref="F2" r:id="rId1" display="URL very long, shorted" xr:uid="{99A62D6B-955A-465D-9C6A-2BAD046A9049}"/>
    <hyperlink ref="F3" r:id="rId2" display="URL very long, shorted" xr:uid="{1B3F339E-6180-4794-AE9E-887FEDE8441C}"/>
    <hyperlink ref="F4" r:id="rId3" display="URL very long, shorted" xr:uid="{8E819B06-8183-48A6-B118-A91BE3A6E284}"/>
    <hyperlink ref="F5" r:id="rId4" display="URL very long, shorted" xr:uid="{1CE1FEDD-0883-422F-B918-52FF154AAD79}"/>
    <hyperlink ref="F6" r:id="rId5" display="URL very long, shorted" xr:uid="{ED55419D-2723-484E-911B-E97DC66A4B66}"/>
    <hyperlink ref="F7" r:id="rId6" display="https://es.aliexpress.com/item/1005009122504274.html?spm=a2g0o.productlist.main.7.5f89748boATUNm&amp;algo_pvid=3013834c-bec4-4311-b0aa-2a86e15363f8&amp;algo_exp_id=3013834c-bec4-4311-b0aa-2a86e15363f8-6&amp;pdp_ext_f=%7B&quot;order&quot;%3A&quot;107&quot;%2C&quot;eval&quot;%3A&quot;1&quot;%2C&quot;fromPage&quot;%3A&quot;search&quot;%7D&amp;pdp_npi=6%40dis%21USD%212.94%212.94%21%21%212.94%212.94%21%402103212317704160897088421e55e9%2112000047991346899%21sea%21CL%210%21ABX%211%210%21n_tag%3A-29910%3Bd%3Aeb55f528%3Bm03_new_user%3A-29895&amp;curPageLogUid=i9Z3rLjRO4sc&amp;utparam-url=scene%3Asearch%7Cquery_from%3A%7Cx_object_id%3A1005009122504274%7C_p_origin_prod%3A" xr:uid="{0DF8113F-FC99-4EE5-AA10-D3185C367D08}"/>
    <hyperlink ref="F10" r:id="rId7" display="URL very long, shorted" xr:uid="{38C32916-7239-4B3F-8936-54EC9D8E2A94}"/>
    <hyperlink ref="F11" r:id="rId8" display="URL very long, shorted" xr:uid="{B869D917-0BBF-4FA2-9C08-6AB07DCF7FB0}"/>
    <hyperlink ref="F12" r:id="rId9" display="URL very long, shorted" xr:uid="{6AF65191-9093-44CA-A434-65AC2B9E3853}"/>
    <hyperlink ref="F13" r:id="rId10" display="URL very long, shorted" xr:uid="{480648C1-D138-4172-A1F3-6B9257B81573}"/>
    <hyperlink ref="F14" r:id="rId11" display="URL very long, shorted" xr:uid="{E64F23B2-F270-4375-AA9A-287B3C507512}"/>
    <hyperlink ref="F9" r:id="rId12" display="aa" xr:uid="{FABE7EDF-7DDE-462D-A255-256D487D3E16}"/>
    <hyperlink ref="F15" r:id="rId13" xr:uid="{26149171-8802-4F06-924C-935A7A889E39}"/>
    <hyperlink ref="F17" r:id="rId14" xr:uid="{D7B157C8-755D-460E-BB17-513ED15287F9}"/>
    <hyperlink ref="F16" r:id="rId15" xr:uid="{4F798240-33D7-42F9-B6A3-5B5B9D2B205C}"/>
    <hyperlink ref="F8" r:id="rId16" display="URL very long, shorted" xr:uid="{170C6CED-1834-4B92-A458-AE0F47B2B47E}"/>
  </hyperlinks>
  <pageMargins left="0.7" right="0.7" top="0.75" bottom="0.75" header="0.3" footer="0.3"/>
  <pageSetup orientation="portrait" r:id="rId17"/>
  <tableParts count="1"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sebanias abel cueva sanchez</dc:creator>
  <cp:lastModifiedBy>sebanias abel cueva sanchez</cp:lastModifiedBy>
  <dcterms:created xsi:type="dcterms:W3CDTF">2025-12-22T15:56:01Z</dcterms:created>
  <dcterms:modified xsi:type="dcterms:W3CDTF">2026-02-09T23:30:22Z</dcterms:modified>
</cp:coreProperties>
</file>